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3D" lockStructure="1"/>
  <bookViews>
    <workbookView xWindow="-11070" yWindow="360" windowWidth="15480" windowHeight="9600" tabRatio="601" firstSheet="4" activeTab="5"/>
  </bookViews>
  <sheets>
    <sheet name="Log Sheet" sheetId="1" r:id="rId1"/>
    <sheet name="New E-List" sheetId="2" r:id="rId2"/>
    <sheet name="Ref E-List " sheetId="4" r:id="rId3"/>
    <sheet name="Broke Equipment List " sheetId="6" r:id="rId4"/>
    <sheet name="Ref E-List Stats" sheetId="5" r:id="rId5"/>
    <sheet name="Master List" sheetId="7" r:id="rId6"/>
    <sheet name="407 locations" sheetId="9" r:id="rId7"/>
    <sheet name="Calibration process" sheetId="8" r:id="rId8"/>
  </sheets>
  <functionGroups builtInGroupCount="17"/>
  <definedNames>
    <definedName name="_xlnm._FilterDatabase" localSheetId="5" hidden="1">'Master List'!$A$29:$I$267</definedName>
    <definedName name="_xlnm.Print_Area" localSheetId="3">'Broke Equipment List '!$E$2:$H$51</definedName>
    <definedName name="_xlnm.Print_Area" localSheetId="0">'Log Sheet'!$C$2:$H$7</definedName>
    <definedName name="_xlnm.Print_Area" localSheetId="1">'New E-List'!$E$2:$H$50</definedName>
    <definedName name="_xlnm.Print_Area" localSheetId="2">'Ref E-List '!$E$2:$H$49</definedName>
    <definedName name="_xlnm.Print_Area" localSheetId="4">'Ref E-List Stats'!$E$2:$H$44</definedName>
  </definedNames>
  <calcPr calcId="145621"/>
</workbook>
</file>

<file path=xl/calcChain.xml><?xml version="1.0" encoding="utf-8"?>
<calcChain xmlns="http://schemas.openxmlformats.org/spreadsheetml/2006/main">
  <c r="G314" i="7" l="1"/>
  <c r="G142" i="7" l="1"/>
  <c r="G26" i="7" l="1"/>
  <c r="G66" i="7" l="1"/>
  <c r="G38" i="7" l="1"/>
  <c r="G81" i="7"/>
  <c r="G47" i="7"/>
  <c r="G48" i="7"/>
  <c r="G14" i="7" l="1"/>
  <c r="G15" i="7"/>
  <c r="G13" i="7"/>
  <c r="G315" i="7"/>
  <c r="G74" i="7" l="1"/>
  <c r="G75" i="7"/>
  <c r="G76" i="7"/>
  <c r="G77" i="7"/>
  <c r="G72" i="7"/>
  <c r="G73" i="7"/>
  <c r="G307" i="7" l="1"/>
  <c r="C19" i="7" l="1"/>
  <c r="G182" i="7" l="1"/>
  <c r="G183" i="7"/>
  <c r="G184" i="7"/>
  <c r="G185" i="7"/>
  <c r="G181" i="7"/>
  <c r="G180" i="7"/>
  <c r="G270" i="7" l="1"/>
  <c r="G69" i="7" l="1"/>
  <c r="G68" i="7"/>
  <c r="G67" i="7"/>
  <c r="G27" i="7" l="1"/>
  <c r="G25" i="7"/>
  <c r="G321" i="7" l="1"/>
  <c r="G24" i="7" l="1"/>
  <c r="G151" i="7" l="1"/>
  <c r="G150" i="7"/>
  <c r="G294" i="7" l="1"/>
  <c r="G309" i="7" l="1"/>
  <c r="G10" i="7"/>
  <c r="G295" i="7"/>
  <c r="G292" i="7" l="1"/>
  <c r="G301" i="7" l="1"/>
  <c r="G316" i="7" l="1"/>
  <c r="G290" i="7" l="1"/>
  <c r="G285" i="7"/>
  <c r="G217" i="7" l="1"/>
  <c r="G204" i="7"/>
  <c r="G203" i="7"/>
  <c r="G226" i="7" l="1"/>
  <c r="G283" i="7" l="1"/>
  <c r="G11" i="7" l="1"/>
  <c r="G12" i="7"/>
  <c r="G16" i="7"/>
  <c r="G17" i="7"/>
  <c r="G222" i="7"/>
  <c r="G223" i="7"/>
  <c r="G224" i="7"/>
  <c r="G225" i="7"/>
  <c r="G221" i="7"/>
  <c r="G212" i="7"/>
  <c r="G211" i="7"/>
  <c r="G30" i="7" l="1"/>
  <c r="G155" i="7" l="1"/>
  <c r="G326" i="7"/>
  <c r="G324" i="7"/>
  <c r="G322" i="7"/>
  <c r="G323" i="7"/>
  <c r="G325" i="7"/>
  <c r="G318" i="7" l="1"/>
  <c r="G317" i="7"/>
  <c r="G319" i="7"/>
  <c r="G106" i="7" l="1"/>
  <c r="G107" i="7"/>
  <c r="G108" i="7"/>
  <c r="G109" i="7"/>
  <c r="G110" i="7"/>
  <c r="G111" i="7"/>
  <c r="G112" i="7"/>
  <c r="G113" i="7"/>
  <c r="G114" i="7"/>
  <c r="G115" i="7"/>
  <c r="G105" i="7"/>
  <c r="G104" i="7"/>
  <c r="G293" i="7"/>
  <c r="G31" i="7"/>
  <c r="G32" i="7"/>
  <c r="G188" i="7"/>
  <c r="G278" i="7" l="1"/>
  <c r="G186" i="7" l="1"/>
  <c r="G71" i="7"/>
  <c r="G70" i="7"/>
  <c r="G271" i="7" l="1"/>
  <c r="G298" i="7" l="1"/>
  <c r="G209" i="7" l="1"/>
  <c r="G18" i="7" l="1"/>
  <c r="A1" i="7" l="1"/>
  <c r="M6" i="7"/>
  <c r="M8" i="7"/>
  <c r="G268" i="7" l="1"/>
  <c r="G269" i="7"/>
  <c r="G289" i="7" l="1"/>
  <c r="G291" i="7"/>
  <c r="G178" i="7" l="1"/>
  <c r="G175" i="7"/>
  <c r="G173" i="7"/>
  <c r="G134" i="7" l="1"/>
  <c r="G133" i="7"/>
  <c r="G135" i="7"/>
  <c r="G136" i="7"/>
  <c r="G137" i="7"/>
  <c r="G138" i="7"/>
  <c r="G139" i="7"/>
  <c r="G140" i="7"/>
  <c r="G141" i="7"/>
  <c r="G304" i="7" l="1"/>
  <c r="G303" i="7"/>
  <c r="G302" i="7"/>
  <c r="G305" i="7"/>
  <c r="G306" i="7"/>
  <c r="G308" i="7"/>
  <c r="G310" i="7"/>
  <c r="G311" i="7"/>
  <c r="G95" i="7" l="1"/>
  <c r="G96" i="7"/>
  <c r="G97" i="7"/>
  <c r="G99" i="7"/>
  <c r="G100" i="7"/>
  <c r="G101" i="7"/>
  <c r="G102" i="7"/>
  <c r="G103" i="7"/>
  <c r="G116" i="7"/>
  <c r="G117" i="7"/>
  <c r="G88" i="7" l="1"/>
  <c r="G87" i="7"/>
  <c r="G146" i="7" l="1"/>
  <c r="G53" i="7" l="1"/>
  <c r="G44" i="7"/>
  <c r="G42" i="7"/>
  <c r="G41" i="7"/>
  <c r="A7" i="7"/>
  <c r="C7" i="7"/>
  <c r="G7" i="7"/>
  <c r="G9" i="7"/>
  <c r="A11" i="7"/>
  <c r="C11" i="7"/>
  <c r="A12" i="7"/>
  <c r="A16" i="7"/>
  <c r="C16" i="7"/>
  <c r="G19" i="7"/>
  <c r="A20" i="7"/>
  <c r="C20" i="7"/>
  <c r="G20" i="7"/>
  <c r="A21" i="7"/>
  <c r="C21" i="7"/>
  <c r="G21" i="7"/>
  <c r="G22" i="7"/>
  <c r="G23" i="7"/>
  <c r="A28" i="7"/>
  <c r="C28" i="7"/>
  <c r="G28" i="7"/>
  <c r="G8" i="7"/>
  <c r="G275" i="7" l="1"/>
  <c r="G276" i="7"/>
  <c r="G277" i="7"/>
  <c r="G279" i="7"/>
  <c r="G280" i="7"/>
  <c r="G281" i="7"/>
  <c r="G282" i="7"/>
  <c r="G284" i="7"/>
  <c r="G286" i="7"/>
  <c r="G287" i="7"/>
  <c r="G288" i="7"/>
  <c r="G296" i="7"/>
  <c r="G297" i="7"/>
  <c r="G299" i="7"/>
  <c r="G300" i="7"/>
  <c r="G312" i="7"/>
  <c r="G313" i="7"/>
  <c r="G320" i="7"/>
  <c r="G274" i="7"/>
  <c r="G50" i="7"/>
  <c r="G51" i="7"/>
  <c r="G52" i="7"/>
  <c r="G54" i="7"/>
  <c r="G55" i="7"/>
  <c r="G56" i="7"/>
  <c r="G57" i="7"/>
  <c r="G58" i="7"/>
  <c r="G59" i="7"/>
  <c r="G60" i="7"/>
  <c r="G61" i="7"/>
  <c r="G62" i="7"/>
  <c r="G63" i="7"/>
  <c r="G64" i="7"/>
  <c r="G65" i="7"/>
  <c r="G78" i="7"/>
  <c r="G79" i="7"/>
  <c r="G80" i="7"/>
  <c r="G82" i="7"/>
  <c r="G83" i="7"/>
  <c r="G84" i="7"/>
  <c r="G85" i="7"/>
  <c r="G86" i="7"/>
  <c r="G89" i="7"/>
  <c r="G90" i="7"/>
  <c r="G91" i="7"/>
  <c r="G92" i="7"/>
  <c r="G93" i="7"/>
  <c r="G94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43" i="7"/>
  <c r="G144" i="7"/>
  <c r="G145" i="7"/>
  <c r="G147" i="7"/>
  <c r="G148" i="7"/>
  <c r="G149" i="7"/>
  <c r="G152" i="7"/>
  <c r="G153" i="7"/>
  <c r="G154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4" i="7"/>
  <c r="G176" i="7"/>
  <c r="G177" i="7"/>
  <c r="G179" i="7"/>
  <c r="G187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5" i="7"/>
  <c r="G206" i="7"/>
  <c r="G207" i="7"/>
  <c r="G208" i="7"/>
  <c r="G210" i="7"/>
  <c r="G215" i="7"/>
  <c r="G216" i="7"/>
  <c r="G219" i="7"/>
  <c r="G220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33" i="7"/>
  <c r="G34" i="7"/>
  <c r="G35" i="7"/>
  <c r="G36" i="7"/>
  <c r="G37" i="7"/>
  <c r="G39" i="7"/>
  <c r="G40" i="7"/>
  <c r="G43" i="7"/>
  <c r="G45" i="7"/>
  <c r="G46" i="7"/>
  <c r="G49" i="7"/>
  <c r="G6" i="7"/>
  <c r="E5" i="5" l="1"/>
  <c r="F5" i="5"/>
  <c r="G5" i="5"/>
  <c r="H5" i="5"/>
  <c r="E6" i="5"/>
  <c r="F6" i="5"/>
  <c r="H6" i="5"/>
  <c r="E7" i="5"/>
  <c r="F7" i="5"/>
  <c r="H7" i="5"/>
  <c r="E8" i="5"/>
  <c r="F8" i="5"/>
  <c r="H8" i="5"/>
  <c r="E9" i="5"/>
  <c r="F9" i="5"/>
  <c r="H9" i="5"/>
  <c r="E10" i="5"/>
  <c r="F10" i="5"/>
  <c r="H10" i="5"/>
  <c r="E11" i="5"/>
  <c r="F11" i="5"/>
  <c r="H11" i="5"/>
  <c r="E12" i="5"/>
  <c r="F12" i="5"/>
  <c r="G12" i="5"/>
  <c r="H12" i="5"/>
  <c r="E13" i="5"/>
  <c r="F13" i="5"/>
  <c r="C12" i="7" s="1"/>
  <c r="H13" i="5"/>
  <c r="G14" i="5"/>
  <c r="G15" i="5"/>
  <c r="G16" i="5"/>
  <c r="G7" i="1" l="1"/>
  <c r="A1" i="1" l="1"/>
  <c r="A2" i="1" s="1"/>
  <c r="A1" i="6" l="1"/>
  <c r="A1" i="5"/>
  <c r="A1" i="4"/>
</calcChain>
</file>

<file path=xl/sharedStrings.xml><?xml version="1.0" encoding="utf-8"?>
<sst xmlns="http://schemas.openxmlformats.org/spreadsheetml/2006/main" count="2679" uniqueCount="806">
  <si>
    <t>Item</t>
  </si>
  <si>
    <t>Equipment List</t>
  </si>
  <si>
    <t>Calibration Date</t>
  </si>
  <si>
    <t xml:space="preserve">S/N </t>
  </si>
  <si>
    <t>CDI 1</t>
  </si>
  <si>
    <t>CDI 2</t>
  </si>
  <si>
    <t>CDI 3</t>
  </si>
  <si>
    <t>Starrett 25' Tape</t>
  </si>
  <si>
    <t>CDI 5</t>
  </si>
  <si>
    <t>CDI 6</t>
  </si>
  <si>
    <t>CDI 7</t>
  </si>
  <si>
    <t>CDI 8</t>
  </si>
  <si>
    <t>Mitutoyo 6" Caliper</t>
  </si>
  <si>
    <t>Mitutoyo 12" Caliper</t>
  </si>
  <si>
    <t>0045261</t>
  </si>
  <si>
    <t>Location</t>
  </si>
  <si>
    <t>1550A Strain Indicator</t>
  </si>
  <si>
    <t>P3500 Strain Indicator</t>
  </si>
  <si>
    <t>Starrett T263 Micrometer Head</t>
  </si>
  <si>
    <t>Starrett Linear Pot Calibrator</t>
  </si>
  <si>
    <t>CAL-01</t>
  </si>
  <si>
    <t>CAL-03</t>
  </si>
  <si>
    <t>Ashcroft Dead Weight Tester</t>
  </si>
  <si>
    <t>Beowulf 200 K Load Cell</t>
  </si>
  <si>
    <t>CDI 4" Digital Indicator</t>
  </si>
  <si>
    <t>M024757</t>
  </si>
  <si>
    <t>CAL-02</t>
  </si>
  <si>
    <t>Cell 2</t>
  </si>
  <si>
    <t>Lufkin Steel Rule (LVDT &amp; Pot Cal)</t>
  </si>
  <si>
    <t>Omega Temperature Meter</t>
  </si>
  <si>
    <t>Starrett 0-6" Dial Indicator</t>
  </si>
  <si>
    <t>M026529</t>
  </si>
  <si>
    <t>HP Data Acquision System 3497A</t>
  </si>
  <si>
    <t>2011A05815</t>
  </si>
  <si>
    <t>Starrett 44 Gage Block Set</t>
  </si>
  <si>
    <t>101480.17</t>
  </si>
  <si>
    <t>Cell 2, Shelf 2</t>
  </si>
  <si>
    <t>Interface 100 K Load Cell</t>
  </si>
  <si>
    <t>262467A</t>
  </si>
  <si>
    <t>N/A</t>
  </si>
  <si>
    <t>WBK16-14</t>
  </si>
  <si>
    <t>MTS 22 K Test Frame</t>
  </si>
  <si>
    <t>MTS 1,000 K Test Frame</t>
  </si>
  <si>
    <t>Baldwin 1,000 K Test Frame</t>
  </si>
  <si>
    <t>Rheile 300 K Test Frame</t>
  </si>
  <si>
    <t>Baldwin 400 K Test Frame</t>
  </si>
  <si>
    <t>Notes</t>
  </si>
  <si>
    <t>Reference Equipment</t>
  </si>
  <si>
    <t>Extensometer Calibrator</t>
  </si>
  <si>
    <t>M023538</t>
  </si>
  <si>
    <t>MA300CR68024</t>
  </si>
  <si>
    <t>Torque Multiplier</t>
  </si>
  <si>
    <t>M028257</t>
  </si>
  <si>
    <t>25K Yellow Load Cell</t>
  </si>
  <si>
    <t>1000 Kip Column Load Cell</t>
  </si>
  <si>
    <t>2500 Kip Column Load Cell</t>
  </si>
  <si>
    <t>Torque Wrench 1000 ft-lb</t>
  </si>
  <si>
    <t>CDI 10</t>
  </si>
  <si>
    <t>CDI 9</t>
  </si>
  <si>
    <t>WBK16-01</t>
  </si>
  <si>
    <t>WBK16-02</t>
  </si>
  <si>
    <t>WBK16-03</t>
  </si>
  <si>
    <t>WBK16-04</t>
  </si>
  <si>
    <t>WBK16-05</t>
  </si>
  <si>
    <t>WBK16-06</t>
  </si>
  <si>
    <t>WBK16-07</t>
  </si>
  <si>
    <t>WBK16-08</t>
  </si>
  <si>
    <t>WBK16-10</t>
  </si>
  <si>
    <t>WBK16-12</t>
  </si>
  <si>
    <t>WBK16-13</t>
  </si>
  <si>
    <t>WBK16-15</t>
  </si>
  <si>
    <t>WBK16-16</t>
  </si>
  <si>
    <t>WBK16-17</t>
  </si>
  <si>
    <t>Wavebook/516E</t>
  </si>
  <si>
    <t>Wavebook/516</t>
  </si>
  <si>
    <t>Interface 50 K Load Cell</t>
  </si>
  <si>
    <t>Interval</t>
  </si>
  <si>
    <t>Tool Box 3</t>
  </si>
  <si>
    <t>Fairbanks Scale</t>
  </si>
  <si>
    <t>Cell 2, Cabinet 5</t>
  </si>
  <si>
    <t>Cell 2, cabinet 5</t>
  </si>
  <si>
    <t>Tool Box #3</t>
  </si>
  <si>
    <t xml:space="preserve"> Ref. Equipment List</t>
  </si>
  <si>
    <t>Starrett 12" Caliper</t>
  </si>
  <si>
    <t>out of service</t>
  </si>
  <si>
    <t>Agilent DC Power Supply</t>
  </si>
  <si>
    <t>MY40013872</t>
  </si>
  <si>
    <t>Cell 2 Calibration cart</t>
  </si>
  <si>
    <t>Agilent Digital Multimeter</t>
  </si>
  <si>
    <t>MY47011459</t>
  </si>
  <si>
    <t>2500C-01 LC1</t>
  </si>
  <si>
    <t>Torque Wrench 250 ft-lb</t>
  </si>
  <si>
    <t>Torque Wrench 75ft-lb</t>
  </si>
  <si>
    <t>119680 / 70400</t>
  </si>
  <si>
    <t>118121 / 70398</t>
  </si>
  <si>
    <t>120976 / 70397</t>
  </si>
  <si>
    <t>112668 / 66979</t>
  </si>
  <si>
    <t>110209 / 66983</t>
  </si>
  <si>
    <t>124941 / 71624</t>
  </si>
  <si>
    <t>112636 / 69770</t>
  </si>
  <si>
    <t>126267 / 71620</t>
  </si>
  <si>
    <t>Wavebook/516 E</t>
  </si>
  <si>
    <t>F1903023A</t>
  </si>
  <si>
    <t>F1903024A</t>
  </si>
  <si>
    <t>F1903026A</t>
  </si>
  <si>
    <t>F1903025A</t>
  </si>
  <si>
    <t>F1903027A</t>
  </si>
  <si>
    <t>String Pot 5IN</t>
  </si>
  <si>
    <t>String Pot 25IN</t>
  </si>
  <si>
    <t>I1004745</t>
  </si>
  <si>
    <t>I1004746</t>
  </si>
  <si>
    <t>I1004743</t>
  </si>
  <si>
    <t>I1004742</t>
  </si>
  <si>
    <t>I1004744</t>
  </si>
  <si>
    <t>I1004741</t>
  </si>
  <si>
    <t>String Pot 10IN</t>
  </si>
  <si>
    <t>G0902135</t>
  </si>
  <si>
    <t>String Pot 2IN</t>
  </si>
  <si>
    <t>C1901586A</t>
  </si>
  <si>
    <t>J1905067A</t>
  </si>
  <si>
    <t>J1905066A</t>
  </si>
  <si>
    <t>Potentiometer 6in</t>
  </si>
  <si>
    <t>J0812689</t>
  </si>
  <si>
    <t>FLUKE 87 MULTIMETER</t>
  </si>
  <si>
    <t>HA0007JM/MO108HM</t>
  </si>
  <si>
    <t>Mitutoyo .5" Depth Gage</t>
  </si>
  <si>
    <t>Torotron THP-05-AD</t>
  </si>
  <si>
    <t>HYPTRONICS HIPOT DC/AC HD125</t>
  </si>
  <si>
    <t>Interface 25k loadcell</t>
  </si>
  <si>
    <t>Sensotec 10k Load cell</t>
  </si>
  <si>
    <t>WBK16-11</t>
  </si>
  <si>
    <t>Mitutoyo 8" Caliper</t>
  </si>
  <si>
    <t>Omega Temperature and Humidity Meter HH314</t>
  </si>
  <si>
    <t>Mitutoyo 4" Caliper</t>
  </si>
  <si>
    <t>11623-00</t>
  </si>
  <si>
    <t>Electrical cart</t>
  </si>
  <si>
    <t>CDI 12</t>
  </si>
  <si>
    <t>CDI11</t>
  </si>
  <si>
    <t>2500C-01 LC2</t>
  </si>
  <si>
    <t>2500C-01 LC3</t>
  </si>
  <si>
    <t>2500C-01 LC4</t>
  </si>
  <si>
    <t>140782 / 70396</t>
  </si>
  <si>
    <t>LVDT 1IN</t>
  </si>
  <si>
    <t>119685 / 70395</t>
  </si>
  <si>
    <t>Broke/replaced cost $570  out of service</t>
  </si>
  <si>
    <t>Broke replacement cost $380 out of service</t>
  </si>
  <si>
    <t>HTL 05042</t>
  </si>
  <si>
    <t>Linear Pot CLP-50</t>
  </si>
  <si>
    <t>Baldwin 1000kip TEST MACHINE</t>
  </si>
  <si>
    <t>CDI 13</t>
  </si>
  <si>
    <t>Accelerometer 353B01</t>
  </si>
  <si>
    <t>Cable Rig</t>
  </si>
  <si>
    <t>Signal Conditioner 482A22</t>
  </si>
  <si>
    <t>Cable rig</t>
  </si>
  <si>
    <t>Sensotec 20k Load cell</t>
  </si>
  <si>
    <r>
      <t>119692/</t>
    </r>
    <r>
      <rPr>
        <b/>
        <sz val="10"/>
        <rFont val="Arial"/>
        <family val="2"/>
      </rPr>
      <t>70399</t>
    </r>
  </si>
  <si>
    <t>Cable Vertical Rig LVDT</t>
  </si>
  <si>
    <t>357435A</t>
  </si>
  <si>
    <t>Use with 9830 read out device (MIA)</t>
  </si>
  <si>
    <t>WBK16</t>
  </si>
  <si>
    <t>J0813547</t>
  </si>
  <si>
    <t>MTS 810</t>
  </si>
  <si>
    <t>Stop Watch</t>
  </si>
  <si>
    <t>M026997</t>
  </si>
  <si>
    <t xml:space="preserve">H Cable Rig </t>
  </si>
  <si>
    <t>V Cable rig</t>
  </si>
  <si>
    <t>Broke</t>
  </si>
  <si>
    <t>1000BTEC493160</t>
  </si>
  <si>
    <t>J0813544</t>
  </si>
  <si>
    <t>Lufkin 33'/10m Tape</t>
  </si>
  <si>
    <t>100C-01 LRLC1</t>
  </si>
  <si>
    <t>100C-02 LRLC2</t>
  </si>
  <si>
    <t>100C-03 LRLC3</t>
  </si>
  <si>
    <t>100C-04 LRLC4</t>
  </si>
  <si>
    <t>Control room</t>
  </si>
  <si>
    <t>check out Date</t>
  </si>
  <si>
    <t>approx Check in date</t>
  </si>
  <si>
    <t xml:space="preserve">                                        Equipment Checkout List</t>
  </si>
  <si>
    <t xml:space="preserve">                                          Equipment  Checkout List</t>
  </si>
  <si>
    <t>day needed</t>
  </si>
  <si>
    <t>Person checking out</t>
  </si>
  <si>
    <t>Project #</t>
  </si>
  <si>
    <t>Ashcroft weights</t>
  </si>
  <si>
    <t>Matt Neumyer</t>
  </si>
  <si>
    <t>50K-1</t>
  </si>
  <si>
    <t>149151 / 75846</t>
  </si>
  <si>
    <t>Wavebook/512A</t>
  </si>
  <si>
    <t>broke</t>
  </si>
  <si>
    <t>J0815901</t>
  </si>
  <si>
    <t>J0815882</t>
  </si>
  <si>
    <t>Accelerometer 356A15</t>
  </si>
  <si>
    <t>Signal Conditioner 482A20</t>
  </si>
  <si>
    <t>String Pot 2IN PT1A-2-UP-AB-M6</t>
  </si>
  <si>
    <t>D2204127C</t>
  </si>
  <si>
    <t>D2204128C</t>
  </si>
  <si>
    <t>D2204129C</t>
  </si>
  <si>
    <t>D2204131C</t>
  </si>
  <si>
    <t>D2204132C</t>
  </si>
  <si>
    <t>D2204133C</t>
  </si>
  <si>
    <t>D2204134C</t>
  </si>
  <si>
    <t>D2204135C</t>
  </si>
  <si>
    <t>D2204136C</t>
  </si>
  <si>
    <t>D2204137C</t>
  </si>
  <si>
    <t>D2204138C</t>
  </si>
  <si>
    <t>D2204130C</t>
  </si>
  <si>
    <t>String Pot 5inch PTI-5-UP-AB-M6</t>
  </si>
  <si>
    <t>F2204823A</t>
  </si>
  <si>
    <t>F2204824A</t>
  </si>
  <si>
    <t>F2204825A</t>
  </si>
  <si>
    <t>F2204826A</t>
  </si>
  <si>
    <t>Lab floor</t>
  </si>
  <si>
    <t xml:space="preserve">  300k load cell / 407 #1</t>
  </si>
  <si>
    <t xml:space="preserve"> 100K Load Cell 407 #6</t>
  </si>
  <si>
    <t xml:space="preserve">Lab floor west/north bage cabinet MTS 22 K Test Frame </t>
  </si>
  <si>
    <t xml:space="preserve">1k load cell </t>
  </si>
  <si>
    <t>109861A</t>
  </si>
  <si>
    <t>WBK16-9</t>
  </si>
  <si>
    <t>100k Load cell /407 #15</t>
  </si>
  <si>
    <t>CDI torque Wrench 600ftlb</t>
  </si>
  <si>
    <t>Interface 9840 Indicator</t>
  </si>
  <si>
    <t>Interface CX 440</t>
  </si>
  <si>
    <t>Mitutoyo digimatic micrometer 12-18'</t>
  </si>
  <si>
    <t>Mitutoyo digimatic micrometer 1'</t>
  </si>
  <si>
    <t>New Equipment List</t>
  </si>
  <si>
    <t>Sent for Cal Date</t>
  </si>
  <si>
    <t>Location cell 4</t>
  </si>
  <si>
    <t>NO CAL RECORD/CELL 4</t>
  </si>
  <si>
    <t>cell 4</t>
  </si>
  <si>
    <t>lvdt vertical cable rig</t>
  </si>
  <si>
    <t>in house</t>
  </si>
  <si>
    <t>CELL 4</t>
  </si>
  <si>
    <t>String pot 10in</t>
  </si>
  <si>
    <t>k2227231B</t>
  </si>
  <si>
    <t>K2227232B</t>
  </si>
  <si>
    <t>K2227233B</t>
  </si>
  <si>
    <t>K2227234B</t>
  </si>
  <si>
    <t>2in</t>
  </si>
  <si>
    <t>J19050667A</t>
  </si>
  <si>
    <t>2IN</t>
  </si>
  <si>
    <t>5IN</t>
  </si>
  <si>
    <t>10IN</t>
  </si>
  <si>
    <t>25IN</t>
  </si>
  <si>
    <t>50IN</t>
  </si>
  <si>
    <t>A1100283</t>
  </si>
  <si>
    <t>Wbk16</t>
  </si>
  <si>
    <t>Wavebook 516</t>
  </si>
  <si>
    <t>WBK14</t>
  </si>
  <si>
    <t>WBK15</t>
  </si>
  <si>
    <t>Load Cells</t>
  </si>
  <si>
    <t>25-3</t>
  </si>
  <si>
    <t xml:space="preserve">100k </t>
  </si>
  <si>
    <t>100-03</t>
  </si>
  <si>
    <t>100-04</t>
  </si>
  <si>
    <t>200k</t>
  </si>
  <si>
    <t>200-1</t>
  </si>
  <si>
    <t>200-3</t>
  </si>
  <si>
    <t>200-4</t>
  </si>
  <si>
    <t>50s-08</t>
  </si>
  <si>
    <t>50k small load cell</t>
  </si>
  <si>
    <t>50s-01</t>
  </si>
  <si>
    <t>50s-02</t>
  </si>
  <si>
    <t>50s-03</t>
  </si>
  <si>
    <t>50s-04</t>
  </si>
  <si>
    <t>50s-05</t>
  </si>
  <si>
    <t>50s-07</t>
  </si>
  <si>
    <t>ctl made</t>
  </si>
  <si>
    <t>8k pull rod load cell</t>
  </si>
  <si>
    <t>Cooper instrument</t>
  </si>
  <si>
    <t>5lb</t>
  </si>
  <si>
    <t>314729A</t>
  </si>
  <si>
    <t>500lb</t>
  </si>
  <si>
    <t>interface</t>
  </si>
  <si>
    <t>1k</t>
  </si>
  <si>
    <t>301950A</t>
  </si>
  <si>
    <t>10k</t>
  </si>
  <si>
    <t>lebow</t>
  </si>
  <si>
    <t>10 mt</t>
  </si>
  <si>
    <t>10mt</t>
  </si>
  <si>
    <t>10K</t>
  </si>
  <si>
    <t>honeywell( pancake style)</t>
  </si>
  <si>
    <t>20k</t>
  </si>
  <si>
    <t>sensotec (pancake syle)</t>
  </si>
  <si>
    <t>30k</t>
  </si>
  <si>
    <t>50lb</t>
  </si>
  <si>
    <t>Omega LC5-1-50</t>
  </si>
  <si>
    <t>Omega LC5-1-51</t>
  </si>
  <si>
    <t>Omega LC5-1-52</t>
  </si>
  <si>
    <t>Omega LC5-1-53</t>
  </si>
  <si>
    <t>Omega LC5-1-54</t>
  </si>
  <si>
    <t>Omega LC5-1-55</t>
  </si>
  <si>
    <t>Omega LC5-1-56</t>
  </si>
  <si>
    <t>indicators</t>
  </si>
  <si>
    <t>P-350A</t>
  </si>
  <si>
    <t>SB-1</t>
  </si>
  <si>
    <t>Vishay Strain indicator</t>
  </si>
  <si>
    <t>Vishay Peak indicator</t>
  </si>
  <si>
    <t>P3500</t>
  </si>
  <si>
    <t>Series 477</t>
  </si>
  <si>
    <t>477-2-usb(n050)</t>
  </si>
  <si>
    <t>Dwyer digital Manometer</t>
  </si>
  <si>
    <t>GK-401</t>
  </si>
  <si>
    <t>geokon Viberating wire readout micropressor</t>
  </si>
  <si>
    <t>Transducer direct</t>
  </si>
  <si>
    <t>Honeywell</t>
  </si>
  <si>
    <t>Waters Longfellow</t>
  </si>
  <si>
    <t>12in</t>
  </si>
  <si>
    <t>36in</t>
  </si>
  <si>
    <t>18-24"</t>
  </si>
  <si>
    <t>M024724</t>
  </si>
  <si>
    <t>6'</t>
  </si>
  <si>
    <t>Mitutyo</t>
  </si>
  <si>
    <t>Starrett long dial gage</t>
  </si>
  <si>
    <t>out of service/ Broke Equipment List</t>
  </si>
  <si>
    <t>Potentiometer  Transducers</t>
  </si>
  <si>
    <t>6in</t>
  </si>
  <si>
    <t>16A2000</t>
  </si>
  <si>
    <t>165BD73</t>
  </si>
  <si>
    <t>165BD56</t>
  </si>
  <si>
    <t>165BD58</t>
  </si>
  <si>
    <t>165BD60</t>
  </si>
  <si>
    <t>165BD66</t>
  </si>
  <si>
    <t>165BD68</t>
  </si>
  <si>
    <t>165BD69</t>
  </si>
  <si>
    <t>165BD70</t>
  </si>
  <si>
    <t>165BD75</t>
  </si>
  <si>
    <t>16B4765</t>
  </si>
  <si>
    <t>16B4766</t>
  </si>
  <si>
    <t>16A2007</t>
  </si>
  <si>
    <t>165BD5E</t>
  </si>
  <si>
    <t>165BD6F</t>
  </si>
  <si>
    <t>165BD5D</t>
  </si>
  <si>
    <t>1652DA4</t>
  </si>
  <si>
    <t>16753A9</t>
  </si>
  <si>
    <t>16BE3FC</t>
  </si>
  <si>
    <t>16C25C4</t>
  </si>
  <si>
    <t>16BE426</t>
  </si>
  <si>
    <t>16A2028</t>
  </si>
  <si>
    <t>Gary creep/anchor test cell 4</t>
  </si>
  <si>
    <t>164B3F9</t>
  </si>
  <si>
    <t>NI 9402 (BNC)</t>
  </si>
  <si>
    <t>16D4E4A</t>
  </si>
  <si>
    <t>16D4DD6</t>
  </si>
  <si>
    <t>16D4E09</t>
  </si>
  <si>
    <t>16D4DC2</t>
  </si>
  <si>
    <t>NA</t>
  </si>
  <si>
    <t>NI 9481 RELAY</t>
  </si>
  <si>
    <t>156734F</t>
  </si>
  <si>
    <t>NI CDAQ-9178</t>
  </si>
  <si>
    <t>1651C40</t>
  </si>
  <si>
    <t>1651C66</t>
  </si>
  <si>
    <t>156140B</t>
  </si>
  <si>
    <t>1693FE4</t>
  </si>
  <si>
    <t>BROKE</t>
  </si>
  <si>
    <t>Stringpot 50in</t>
  </si>
  <si>
    <t>String Pot PT1A-10-UP-AB-M6-SG</t>
  </si>
  <si>
    <t>K2227231B</t>
  </si>
  <si>
    <t>Use with 9820 read out device M3277 (tHole) cell 4</t>
  </si>
  <si>
    <t>Use with 9820 read out device M3286 (Thole) cell 4</t>
  </si>
  <si>
    <t>Use with 9830 read out device N1565 (*no Thole) cell 4</t>
  </si>
  <si>
    <t>system cal with ni 9215 sn 1332F08 (SAI Vaidya)</t>
  </si>
  <si>
    <t>1388/9391</t>
  </si>
  <si>
    <t>Brinell hardness tester load frame &amp; scope</t>
  </si>
  <si>
    <t>mia</t>
  </si>
  <si>
    <t xml:space="preserve">50k load cell </t>
  </si>
  <si>
    <t>50K /407 #9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</si>
  <si>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</si>
  <si>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</si>
  <si>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</si>
  <si>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</si>
  <si>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</si>
  <si>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</si>
  <si>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</si>
  <si>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</si>
  <si>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</si>
  <si>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</si>
  <si>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</si>
  <si>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</si>
  <si>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#14</t>
  </si>
  <si>
    <t>#15</t>
  </si>
  <si>
    <t>#16</t>
  </si>
  <si>
    <t>#17</t>
  </si>
  <si>
    <t>300k</t>
  </si>
  <si>
    <t>bolster center</t>
  </si>
  <si>
    <t>100k</t>
  </si>
  <si>
    <t>bolster E</t>
  </si>
  <si>
    <t>fastener</t>
  </si>
  <si>
    <t>50k</t>
  </si>
  <si>
    <t>side frame</t>
  </si>
  <si>
    <t>testframe</t>
  </si>
  <si>
    <t>na</t>
  </si>
  <si>
    <t>test frame</t>
  </si>
  <si>
    <t>tie test</t>
  </si>
  <si>
    <t>tslot table</t>
  </si>
  <si>
    <t>load</t>
  </si>
  <si>
    <t>setup</t>
  </si>
  <si>
    <t xml:space="preserve">sideframe </t>
  </si>
  <si>
    <t>1695C4C</t>
  </si>
  <si>
    <t>16B5EF6</t>
  </si>
  <si>
    <t>NI 9263 I/O ANALOG output</t>
  </si>
  <si>
    <t>NI 9264 I/O ANALOG output +CH</t>
  </si>
  <si>
    <t>16B5EF2</t>
  </si>
  <si>
    <t>22K</t>
  </si>
  <si>
    <t>LATERAL</t>
  </si>
  <si>
    <t>CABLERIG</t>
  </si>
  <si>
    <t>west bolster</t>
  </si>
  <si>
    <t>jj</t>
  </si>
  <si>
    <t>#18</t>
  </si>
  <si>
    <t>cell2</t>
  </si>
  <si>
    <t>MTS 1,000 K LVDT</t>
  </si>
  <si>
    <t>Calibration Due Date</t>
  </si>
  <si>
    <t xml:space="preserve"> Date Of Calibration </t>
  </si>
  <si>
    <t>Out Of Service</t>
  </si>
  <si>
    <t>JJ</t>
  </si>
  <si>
    <t>D002W</t>
  </si>
  <si>
    <t>D010</t>
  </si>
  <si>
    <t>D011</t>
  </si>
  <si>
    <t>CELL 5</t>
  </si>
  <si>
    <t>CELL 2</t>
  </si>
  <si>
    <t>Lab Floor</t>
  </si>
  <si>
    <t>Test Frames</t>
  </si>
  <si>
    <t>Status</t>
  </si>
  <si>
    <t>In Service</t>
  </si>
  <si>
    <t>Instrument Type</t>
  </si>
  <si>
    <t>Description</t>
  </si>
  <si>
    <t>N</t>
  </si>
  <si>
    <t>352869A</t>
  </si>
  <si>
    <t>242751A</t>
  </si>
  <si>
    <t>MTS 100k /407#11</t>
  </si>
  <si>
    <t>Test Frame</t>
  </si>
  <si>
    <t>Load Cell</t>
  </si>
  <si>
    <t>Caliper</t>
  </si>
  <si>
    <t>Micrometer</t>
  </si>
  <si>
    <t>Torque Wrench</t>
  </si>
  <si>
    <t>Dial Gage</t>
  </si>
  <si>
    <t>410837A</t>
  </si>
  <si>
    <t>Y</t>
  </si>
  <si>
    <t>Small Cable Rig</t>
  </si>
  <si>
    <t>Big Cable Rig</t>
  </si>
  <si>
    <t>SmallBolsterTestFrame</t>
  </si>
  <si>
    <t>IOTech</t>
  </si>
  <si>
    <t>System Calibration</t>
  </si>
  <si>
    <t>NI 9237 Full Bridge module lc/pots</t>
  </si>
  <si>
    <t>National Instruments</t>
  </si>
  <si>
    <t>String Pot</t>
  </si>
  <si>
    <t>Million Pound Room</t>
  </si>
  <si>
    <t>Small Bolster Rig</t>
  </si>
  <si>
    <t>Calibrated through sytem with NI 9205 (164B3F9)</t>
  </si>
  <si>
    <t>Calibrated With LVDT and Signal Conditioner 124941/71624</t>
  </si>
  <si>
    <t>Calibrated withString Pot F2204826A</t>
  </si>
  <si>
    <t>Multimeter</t>
  </si>
  <si>
    <t xml:space="preserve">Tape Measure </t>
  </si>
  <si>
    <t>Calibrate Before Next Use</t>
  </si>
  <si>
    <t>?</t>
  </si>
  <si>
    <t xml:space="preserve">Lost Or Entered Incorrectly </t>
  </si>
  <si>
    <t>BigBolsterTestFrame</t>
  </si>
  <si>
    <t>100k Load cell /407 #8</t>
  </si>
  <si>
    <t>100k Load cell /407 #5</t>
  </si>
  <si>
    <t>200k Load cell /407 #17</t>
  </si>
  <si>
    <t>Lab florr</t>
  </si>
  <si>
    <t>SmallCableRig LVDT</t>
  </si>
  <si>
    <t>BigCableRigLVDT</t>
  </si>
  <si>
    <t>CDI-9</t>
  </si>
  <si>
    <t>CDI13</t>
  </si>
  <si>
    <t>Tovey 100k Load Cell/ 407 #14</t>
  </si>
  <si>
    <t>Fastener Testing</t>
  </si>
  <si>
    <t>100K-1</t>
  </si>
  <si>
    <t>MTS 634-25E-24</t>
  </si>
  <si>
    <t>Extensometer</t>
  </si>
  <si>
    <t>10404166B</t>
  </si>
  <si>
    <t>MTS 634-25E-25</t>
  </si>
  <si>
    <t>10404166D</t>
  </si>
  <si>
    <t>Electrical Testing Cart</t>
  </si>
  <si>
    <t>Reference Only</t>
  </si>
  <si>
    <t xml:space="preserve">SRS PS375 +20k power supply </t>
  </si>
  <si>
    <t>PowerTron 5900</t>
  </si>
  <si>
    <t>Code</t>
  </si>
  <si>
    <t>(TODAY() &gt;$G6)&lt;(TODAY()+DATE(0,4,0)&gt;$G6)</t>
  </si>
  <si>
    <t>yellow</t>
  </si>
  <si>
    <t>red</t>
  </si>
  <si>
    <t>(TODAY()&gt;$G6)</t>
  </si>
  <si>
    <t>EOF Falg&gt;</t>
  </si>
  <si>
    <t>ALLDONE</t>
  </si>
  <si>
    <t>&lt;EOF Flag</t>
  </si>
  <si>
    <t>^EOF FLAG ^</t>
  </si>
  <si>
    <t>Calibration Good</t>
  </si>
  <si>
    <t>Should Be Out Of Service</t>
  </si>
  <si>
    <t>Two Months</t>
  </si>
  <si>
    <t>Three Months</t>
  </si>
  <si>
    <t>in Service</t>
  </si>
  <si>
    <t>Big Bolster Rig</t>
  </si>
  <si>
    <t>Next Month</t>
  </si>
  <si>
    <t>CELL 1</t>
  </si>
  <si>
    <t>Thermo Orion STAR A2222</t>
  </si>
  <si>
    <t>K02690</t>
  </si>
  <si>
    <t>50K Test Frame</t>
  </si>
  <si>
    <t>140781 / 75847</t>
  </si>
  <si>
    <t>Small Cable rig break detection</t>
  </si>
  <si>
    <t>Big Cable rig break detection</t>
  </si>
  <si>
    <t>Positector Ultasonic Thickness Gage</t>
  </si>
  <si>
    <t>Thickness Gage</t>
  </si>
  <si>
    <t>NI PXIe 4330</t>
  </si>
  <si>
    <t>189DBAD</t>
  </si>
  <si>
    <t>189DBBE</t>
  </si>
  <si>
    <t>118109 / 71631</t>
  </si>
  <si>
    <t>141580/69784</t>
  </si>
  <si>
    <t>126272 / 69773</t>
  </si>
  <si>
    <t>Extensometers</t>
  </si>
  <si>
    <t>Epsilon 3560-AVG-0200-005-ST</t>
  </si>
  <si>
    <t>Epsilon 3560-AVG-0100-010-ST</t>
  </si>
  <si>
    <t>E89185</t>
  </si>
  <si>
    <t>E87619</t>
  </si>
  <si>
    <t>E87613</t>
  </si>
  <si>
    <t>C100</t>
  </si>
  <si>
    <t>20K Range</t>
  </si>
  <si>
    <t>Truck Frame</t>
  </si>
  <si>
    <t>CTL-DG1A</t>
  </si>
  <si>
    <t>CTL-DG1B</t>
  </si>
  <si>
    <t>CTL-DG2A</t>
  </si>
  <si>
    <t>CTL-DG2B</t>
  </si>
  <si>
    <t>CTL-DG3A</t>
  </si>
  <si>
    <t>CTL-DG3B</t>
  </si>
  <si>
    <t>CTL-DG4A</t>
  </si>
  <si>
    <t>CTL-DG4B</t>
  </si>
  <si>
    <t>CTL-DG5A</t>
  </si>
  <si>
    <t>CTL_DG5B</t>
  </si>
  <si>
    <t>CTL-DG6A</t>
  </si>
  <si>
    <t>CTL-DG6B</t>
  </si>
  <si>
    <t>DG1A</t>
  </si>
  <si>
    <t>DG1B</t>
  </si>
  <si>
    <t>DG2A</t>
  </si>
  <si>
    <t>DG2B</t>
  </si>
  <si>
    <t>DG3A</t>
  </si>
  <si>
    <t>DG3B</t>
  </si>
  <si>
    <t>DG4A</t>
  </si>
  <si>
    <t>DG4B</t>
  </si>
  <si>
    <t>DG5A</t>
  </si>
  <si>
    <t>DG5B</t>
  </si>
  <si>
    <t>DG6A</t>
  </si>
  <si>
    <t>DG6B</t>
  </si>
  <si>
    <t>NI 9237 Full Bridge module W F2204826A</t>
  </si>
  <si>
    <t>Slow Bend Rig</t>
  </si>
  <si>
    <t>NI 9205 W LVDT ON Small Bolster rig</t>
  </si>
  <si>
    <t>012025</t>
  </si>
  <si>
    <t>Rheile 300K Pressure Gage</t>
  </si>
  <si>
    <t xml:space="preserve">Extensometer 632.11B-20 With 1Kip </t>
  </si>
  <si>
    <t xml:space="preserve">Extensometer 632.11B-20 With Million Pound </t>
  </si>
  <si>
    <t xml:space="preserve"> 50K Load Cell 407 #20</t>
  </si>
  <si>
    <t>.3 Inch Omega LVDT</t>
  </si>
  <si>
    <t>Fiber Frame</t>
  </si>
  <si>
    <t>M930422AF10-01</t>
  </si>
  <si>
    <t>M930422AF10-02</t>
  </si>
  <si>
    <t>20K Interface Load Cell / Fiber Frame</t>
  </si>
  <si>
    <t>100K Interface LC + P3</t>
  </si>
  <si>
    <t>Lc+P3</t>
  </si>
  <si>
    <t>3574335A/178101</t>
  </si>
  <si>
    <t>Sensotec 5k Load cell / Digital Indicator</t>
  </si>
  <si>
    <t>198199 / 1051639</t>
  </si>
  <si>
    <t>4K Adam Crane Scale</t>
  </si>
  <si>
    <t>Cal-224</t>
  </si>
  <si>
    <t>25K Load Cell / 407 #10</t>
  </si>
  <si>
    <t>526693A</t>
  </si>
  <si>
    <t>Out of Service</t>
  </si>
  <si>
    <t xml:space="preserve">String Pot PT1A-10-UP-AB-M6-SG </t>
  </si>
  <si>
    <t>Mermaid Room</t>
  </si>
  <si>
    <t>D2204139C</t>
  </si>
  <si>
    <t>unknown</t>
  </si>
  <si>
    <t>Interface 100k Load Cell</t>
  </si>
  <si>
    <t xml:space="preserve"> 10kip load cell/ 407 #21</t>
  </si>
  <si>
    <t>T Slot Table</t>
  </si>
  <si>
    <t>126273/69771</t>
  </si>
  <si>
    <t>177506/75047</t>
  </si>
  <si>
    <t>177507/72043</t>
  </si>
  <si>
    <t>182789/71569</t>
  </si>
  <si>
    <t>182790/70399</t>
  </si>
  <si>
    <t>182791/72023</t>
  </si>
  <si>
    <t>182792/72032</t>
  </si>
  <si>
    <t>182794/72033</t>
  </si>
  <si>
    <t>Recently Calibrated</t>
  </si>
  <si>
    <t>182793/1074222A</t>
  </si>
  <si>
    <t>LVDT/ 407 #23 AC Readout</t>
  </si>
  <si>
    <t>DAQ Cart</t>
  </si>
  <si>
    <t>CONDITIONER BOX</t>
  </si>
  <si>
    <t>141586 / 71618</t>
  </si>
  <si>
    <t>140780 / 75052</t>
  </si>
  <si>
    <t>140784 / 75053</t>
  </si>
  <si>
    <t>ASG Calibration</t>
  </si>
  <si>
    <t>126266 / 66993</t>
  </si>
  <si>
    <t>118114 / 69774</t>
  </si>
  <si>
    <t>118113 / 71619</t>
  </si>
  <si>
    <t xml:space="preserve">String Pot 5inch PTI-5-UP-AB-M6 </t>
  </si>
  <si>
    <t xml:space="preserve">Calibrated With WBK16 166088 and with NI 9237 </t>
  </si>
  <si>
    <t>Interface 25k Load Cell / 404 #22</t>
  </si>
  <si>
    <t>534329A</t>
  </si>
  <si>
    <t>25k Load Cell / 407 #23</t>
  </si>
  <si>
    <t xml:space="preserve">Sensotec 20k Load cell/ Interface Read out </t>
  </si>
  <si>
    <t>860555 / M3286</t>
  </si>
  <si>
    <t>located by fastener testing</t>
  </si>
  <si>
    <t>97166A/23</t>
  </si>
  <si>
    <t>Interface 50 K Load Cell + 407</t>
  </si>
  <si>
    <t>This Month</t>
  </si>
  <si>
    <t>Side Frame Rig</t>
  </si>
  <si>
    <t>100 k / output to NI Daq</t>
  </si>
  <si>
    <t>3232/1A09C60</t>
  </si>
  <si>
    <t>Sensotec 20k Load cell/ NI 9237</t>
  </si>
  <si>
    <t>US36137237</t>
  </si>
  <si>
    <t>LVDT / CONDITIONER BOX</t>
  </si>
  <si>
    <t>Small Cable Rig LVDT 1in</t>
  </si>
  <si>
    <t>LVDT 0.2in</t>
  </si>
  <si>
    <t>LVDT  0.2in</t>
  </si>
  <si>
    <t>Rheile 300K Test Frame 50 KIP RANGE</t>
  </si>
  <si>
    <t>Thickness Gage Set</t>
  </si>
  <si>
    <t>Straight Edge 36"</t>
  </si>
  <si>
    <t>380-36</t>
  </si>
  <si>
    <t>CAL-223</t>
  </si>
  <si>
    <t>1AAF6FA</t>
  </si>
  <si>
    <t>1AAF6F6</t>
  </si>
  <si>
    <t>1AAF6FF</t>
  </si>
  <si>
    <r>
      <t xml:space="preserve">Big Cable Rig LVDT 1in </t>
    </r>
    <r>
      <rPr>
        <b/>
        <sz val="10"/>
        <color theme="1"/>
        <rFont val="Arial"/>
        <family val="2"/>
      </rPr>
      <t>NOTE CORRECT CHANNEL #s</t>
    </r>
  </si>
  <si>
    <r>
      <t>Big Cable Rig LVDT 1in</t>
    </r>
    <r>
      <rPr>
        <b/>
        <sz val="10"/>
        <color theme="1"/>
        <rFont val="Arial"/>
        <family val="2"/>
      </rPr>
      <t xml:space="preserve"> NOTE CORRECT CHANNEL #s</t>
    </r>
  </si>
  <si>
    <t>Electronic Digital Strain Indicator</t>
  </si>
  <si>
    <t>Vishay</t>
  </si>
  <si>
    <t>InnoCal</t>
  </si>
  <si>
    <t>Trescal</t>
  </si>
  <si>
    <t>01006390</t>
  </si>
  <si>
    <t>Mitutoyo 1" Micrometer</t>
  </si>
  <si>
    <t>Internal</t>
  </si>
  <si>
    <t>good, Cal-Rite on site</t>
  </si>
  <si>
    <t>Calibration</t>
  </si>
  <si>
    <t>University of Illinois</t>
  </si>
  <si>
    <t>Big Cable Rig 2500K LC</t>
  </si>
  <si>
    <t>never calibrated</t>
  </si>
  <si>
    <t>good, Interface Inc.</t>
  </si>
  <si>
    <t>confirm Class A Lower Limit with "Load Reference Selection Guide" document upon receiving new cal certs</t>
  </si>
  <si>
    <t>0308100176</t>
  </si>
  <si>
    <t>07128105</t>
  </si>
  <si>
    <t>CDI</t>
  </si>
  <si>
    <t>Fastner Testing</t>
  </si>
  <si>
    <t>Unknown</t>
  </si>
  <si>
    <t>BROKEN</t>
  </si>
  <si>
    <t>good, InnoCal on site</t>
  </si>
  <si>
    <t>good, Richard J. Bagan, Inc.</t>
  </si>
  <si>
    <t>Digital Caliper</t>
  </si>
  <si>
    <t>Didital Caliper</t>
  </si>
  <si>
    <t>Digital Micrometer</t>
  </si>
  <si>
    <t>InnoCal?</t>
  </si>
  <si>
    <t>Needs to be calibrated</t>
  </si>
  <si>
    <t>50K Machine Controlled by Fiber Frame Hardware</t>
  </si>
  <si>
    <t>Given to Giuseppe</t>
  </si>
  <si>
    <t>Trescal Formerly ICSI</t>
  </si>
  <si>
    <t>Customer Service</t>
  </si>
  <si>
    <t>kenneth.rollins@trescal.us</t>
  </si>
  <si>
    <t>Trescal Inc. </t>
  </si>
  <si>
    <t>5965 Shiloh Rd. East</t>
  </si>
  <si>
    <t>Alpharetta, GA 30005</t>
  </si>
  <si>
    <t>Tel: +1 678-965-4660  Ext:1325</t>
  </si>
  <si>
    <t>Fax: +1 678-965-4659</t>
  </si>
  <si>
    <t>www.trescal.us</t>
  </si>
  <si>
    <t>www.trescal.com</t>
  </si>
  <si>
    <t>JWL Instruments</t>
  </si>
  <si>
    <t>http://www.jlwinstruments.com/index.php/rma/</t>
  </si>
  <si>
    <t>Trescal (Arlington Heights)</t>
  </si>
  <si>
    <t>718 W. Algonquin Rd.</t>
  </si>
  <si>
    <t>Arlington Heights, IL 60005</t>
  </si>
  <si>
    <t>(847)718-0172</t>
  </si>
  <si>
    <t>good, Trescal (Arlington Heights)</t>
  </si>
  <si>
    <t>good, InnoCal</t>
  </si>
  <si>
    <t>Omega Temperature Meter HH506</t>
  </si>
  <si>
    <t>Electrical Cart</t>
  </si>
  <si>
    <t>Million Pound Room/ 50 K Machine</t>
  </si>
  <si>
    <t>200K RAM (stroke)/ 407 #2</t>
  </si>
  <si>
    <t>waiting on new equipment at cal facility (update: sent back without calibration)</t>
  </si>
  <si>
    <t>Basement (ASGs)</t>
  </si>
  <si>
    <t>DO NOT USE FOR BASIC REPAIR SERVICES (see https://www.dynamictechnology.com/tamonliner/estimates/EstimateView.asp?action=REVIEW)</t>
  </si>
  <si>
    <t>MIA since December 2015, box in control room</t>
  </si>
  <si>
    <t>Giuseppe's Test (251542)</t>
  </si>
  <si>
    <t>DAQ Card in Control Room</t>
  </si>
  <si>
    <t>DAQ Card in Control Room ???</t>
  </si>
  <si>
    <r>
      <t>Records show cal to 2 DAQ Cards (</t>
    </r>
    <r>
      <rPr>
        <b/>
        <sz val="10"/>
        <rFont val="Arial"/>
        <family val="2"/>
      </rPr>
      <t>16753A9</t>
    </r>
    <r>
      <rPr>
        <sz val="10"/>
        <rFont val="Arial"/>
        <family val="2"/>
      </rPr>
      <t xml:space="preserve"> 7/29/15 &amp; </t>
    </r>
    <r>
      <rPr>
        <b/>
        <sz val="10"/>
        <rFont val="Arial"/>
        <family val="2"/>
      </rPr>
      <t>16C25C4</t>
    </r>
    <r>
      <rPr>
        <sz val="10"/>
        <rFont val="Arial"/>
        <family val="2"/>
      </rPr>
      <t xml:space="preserve"> 11/13/15) ????</t>
    </r>
  </si>
  <si>
    <t xml:space="preserve">Tie pad Testing  </t>
  </si>
  <si>
    <t>Tie Pad Testing</t>
  </si>
  <si>
    <t>Open QIR</t>
  </si>
  <si>
    <t>Conditioner Box in Mermaid Room</t>
  </si>
  <si>
    <t>LVDT sensor MIA</t>
  </si>
  <si>
    <t>11500 N. Mopac Expressway</t>
  </si>
  <si>
    <t>Austin, TX 78759-3504</t>
  </si>
  <si>
    <t>USA</t>
  </si>
  <si>
    <t>tel: 512 683-0100</t>
  </si>
  <si>
    <t>MIA</t>
  </si>
  <si>
    <t>noted as "Discarded" by QA</t>
  </si>
  <si>
    <t>16C4F9E</t>
  </si>
  <si>
    <t>16C4FBA</t>
  </si>
  <si>
    <t>16C4FA0</t>
  </si>
  <si>
    <t>16C4FD7</t>
  </si>
  <si>
    <t>194939A</t>
  </si>
  <si>
    <t>16C4D07</t>
  </si>
  <si>
    <t>NI PXIe High Level</t>
  </si>
  <si>
    <t>good, Internal</t>
  </si>
  <si>
    <t>National Intruments</t>
  </si>
  <si>
    <t xml:space="preserve">National Intruments </t>
  </si>
  <si>
    <t>po Box 202262</t>
  </si>
  <si>
    <t>Dallas TX 75320-2262</t>
  </si>
  <si>
    <t>800-433-3488</t>
  </si>
  <si>
    <t>(on cert)</t>
  </si>
  <si>
    <t>(on p.o.)</t>
  </si>
  <si>
    <t>DISCARDED</t>
  </si>
  <si>
    <t>BROKEN (QIR 16-004)</t>
  </si>
  <si>
    <t>good</t>
  </si>
  <si>
    <t>good, Trescal</t>
  </si>
  <si>
    <t>Small Cable Rig Piston LVDT</t>
  </si>
  <si>
    <t>Big Cable Rig Piston LVDT</t>
  </si>
  <si>
    <t>Trescal Ga Formerly ICSI</t>
  </si>
  <si>
    <t>Ken Rollins  (678) 341-6090)</t>
  </si>
  <si>
    <t>LVDT in Mermaid Room</t>
  </si>
  <si>
    <t>407 repurposed for LB Foster</t>
  </si>
  <si>
    <t>407 repurposed (See above)</t>
  </si>
  <si>
    <t>Output Calibrated to NI 9215 SN 1332F08</t>
  </si>
  <si>
    <t>Tagged Out on Lab Floor</t>
  </si>
  <si>
    <t>Interface 600 K Load Cell</t>
  </si>
  <si>
    <t>Interface Inc.</t>
  </si>
  <si>
    <t>Ryan Christie &lt;rchristie@trescal.us&gt;</t>
  </si>
  <si>
    <t>NI 9215 (BNC)</t>
  </si>
  <si>
    <t>1A4FD50</t>
  </si>
  <si>
    <t>1AB072B</t>
  </si>
  <si>
    <t>1A5FEA8</t>
  </si>
  <si>
    <t>NI 9236 Quarter Bridge Strain Module</t>
  </si>
  <si>
    <t>NI 9403</t>
  </si>
  <si>
    <t>154FDC3</t>
  </si>
  <si>
    <t xml:space="preserve"> NOT 7025 CALIBRATED (PO does not need QA's approval)</t>
  </si>
  <si>
    <t>NOT 7025 CALIBRATED (PO does not need QA's approval)</t>
  </si>
  <si>
    <t>Control Room</t>
  </si>
  <si>
    <t xml:space="preserve">good, National Intruments </t>
  </si>
  <si>
    <t>1AD96B3</t>
  </si>
  <si>
    <t>NEVER BEEN CALIBRATED send out with side frame cards</t>
  </si>
  <si>
    <t>NI 9236 NOT IN SERVICE but calibrated with other cards in group and SN 16B4766</t>
  </si>
  <si>
    <t>MTS 50k /407# 19</t>
  </si>
  <si>
    <t>100 KTest Frame</t>
  </si>
  <si>
    <t>100 K Test Frame</t>
  </si>
  <si>
    <t>Sideframe Twist</t>
  </si>
  <si>
    <t>Sideframe Vertical</t>
  </si>
  <si>
    <t>Sideframe Transverse</t>
  </si>
  <si>
    <t>Sideframe Rig</t>
  </si>
  <si>
    <t>Rolling Loads</t>
  </si>
  <si>
    <t>Tie Testing</t>
  </si>
  <si>
    <t>For Creep Test</t>
  </si>
  <si>
    <t xml:space="preserve">MTS Mill lbs Machine </t>
  </si>
  <si>
    <t>300K Test Frame</t>
  </si>
  <si>
    <t>Attached to 300K Test Frame</t>
  </si>
  <si>
    <t xml:space="preserve"> 100K Load Cell/ 407 # 3</t>
  </si>
  <si>
    <t>200K Load Cell/  407 # 2</t>
  </si>
  <si>
    <t>100K Load Cell/ 407 # 12</t>
  </si>
  <si>
    <t>22KIP Load Cell/407 #4</t>
  </si>
  <si>
    <t>Microsyn 5 Encoder</t>
  </si>
  <si>
    <t>Lufkin Steel Rule (reference)</t>
  </si>
  <si>
    <t xml:space="preserve">InnoCal </t>
  </si>
  <si>
    <t>InnoCal on site</t>
  </si>
  <si>
    <t>Given to Jeff Pycz</t>
  </si>
  <si>
    <t>"B" Building</t>
  </si>
  <si>
    <t>LB Foster</t>
  </si>
  <si>
    <r>
      <t xml:space="preserve">MTS 100k /407#11 </t>
    </r>
    <r>
      <rPr>
        <b/>
        <sz val="10"/>
        <color theme="1"/>
        <rFont val="Arial"/>
        <family val="2"/>
      </rPr>
      <t>20K Range</t>
    </r>
  </si>
  <si>
    <r>
      <t xml:space="preserve">MTS 100k / 407 #11  </t>
    </r>
    <r>
      <rPr>
        <b/>
        <sz val="10"/>
        <color theme="1"/>
        <rFont val="Arial"/>
        <family val="2"/>
      </rPr>
      <t>LVDT</t>
    </r>
  </si>
  <si>
    <t>NEED CERT</t>
  </si>
  <si>
    <t>100k Load Cell /407#18/ NI 1332F08</t>
  </si>
  <si>
    <t>LOST February 2016</t>
  </si>
  <si>
    <t>EDP50315</t>
  </si>
  <si>
    <t>00013755</t>
  </si>
  <si>
    <t>daq card in control room</t>
  </si>
  <si>
    <t>terry@dialindicator.com</t>
  </si>
  <si>
    <t>847-827-7186</t>
  </si>
  <si>
    <t>Chicago Dial Gage (for repairs)</t>
  </si>
  <si>
    <t>previously a 3 year calibration interval (set at 1 year on cert organized by QA)</t>
  </si>
  <si>
    <t>off campus</t>
  </si>
  <si>
    <t>Sent out for Calibration</t>
  </si>
  <si>
    <t>sent out for calibration</t>
  </si>
  <si>
    <t>Control Company</t>
  </si>
  <si>
    <t>https://traceable.com/</t>
  </si>
  <si>
    <t>https://traceable.com/media/wysiwyg/ServiceForm1.pdf</t>
  </si>
  <si>
    <t>281-482-1714</t>
  </si>
  <si>
    <t>acceptable for stopwatches but can use Inno cal for compliant calibration for nuclear work</t>
  </si>
  <si>
    <t>Million Pound Room/ Control Room</t>
  </si>
  <si>
    <t>2 instruments (1 small and portable 1 good as fixed)</t>
  </si>
  <si>
    <r>
      <t xml:space="preserve">10k Load Cell / 407 #23/ NI 1332F07 </t>
    </r>
    <r>
      <rPr>
        <b/>
        <sz val="10"/>
        <color theme="1"/>
        <rFont val="Arial"/>
        <family val="2"/>
      </rPr>
      <t>STROKE</t>
    </r>
  </si>
  <si>
    <r>
      <t>10k Load Cell / 407 #23/ NI 1332F08</t>
    </r>
    <r>
      <rPr>
        <b/>
        <sz val="10"/>
        <color theme="1"/>
        <rFont val="Arial"/>
        <family val="2"/>
      </rPr>
      <t xml:space="preserve"> LOAD</t>
    </r>
  </si>
  <si>
    <t>B Building</t>
  </si>
  <si>
    <t>863491 / 1A5FEA8</t>
  </si>
  <si>
    <t>863490 / 1A5FEA8</t>
  </si>
  <si>
    <t>Fastner Testing Cart</t>
  </si>
  <si>
    <t>Fastener Testing Cart</t>
  </si>
  <si>
    <t>LVDT 1 in</t>
  </si>
  <si>
    <t>LVDT 2 in</t>
  </si>
  <si>
    <t>111657/72045/1332F08</t>
  </si>
  <si>
    <t>never been calibrated</t>
  </si>
  <si>
    <t xml:space="preserve"> NO 7025 Cal available (PO does not need QA's approval)</t>
  </si>
  <si>
    <t>NO 7025 Cal available (PO does not need QA's approval)</t>
  </si>
  <si>
    <t>Replaced</t>
  </si>
  <si>
    <t>HoneyWell 1000k Load Cell</t>
  </si>
  <si>
    <t>does not require individual calibration</t>
  </si>
  <si>
    <t>Platform Scale</t>
  </si>
  <si>
    <t>Depth Ggae</t>
  </si>
  <si>
    <t>LVDT/ CONDITIONER BOX + NI9215 ai2</t>
  </si>
  <si>
    <t>LVDT .2  + NI9215</t>
  </si>
  <si>
    <t>CABLE RIG HORIZONTAL</t>
  </si>
  <si>
    <t>CABLE RIG VERTICAL</t>
  </si>
  <si>
    <t>LVDT/ 407 AC CONDITIONER</t>
  </si>
  <si>
    <t>previously used for DSI</t>
  </si>
  <si>
    <t>CONDITONER BOX</t>
  </si>
  <si>
    <t>OUT FOR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</si>
</sst>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[$-409]d\-mmm\-yyyy;@"/>
    <numFmt numFmtId="166" formatCode="[$-409]dd\-mmm\-yy;@"/>
    <numFmt numFmtId="167" formatCode="0.0"/>
  </numFmts>
  <fonts count="21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0"/>
      <name val="Tahoma"/>
      <family val="2"/>
    </font>
    <font>
      <b/>
      <sz val="18"/>
      <name val="Tahoma"/>
      <family val="2"/>
    </font>
    <font>
      <sz val="12"/>
      <name val="Arial"/>
      <family val="2"/>
    </font>
    <font>
      <sz val="10"/>
      <color theme="1"/>
      <name val="Arial"/>
      <family val="2"/>
    </font>
    <font>
      <sz val="48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00B050"/>
      <name val="Arial"/>
      <family val="2"/>
    </font>
    <font>
      <b/>
      <sz val="13.5"/>
      <color rgb="FF0066CC"/>
      <name val="Arial"/>
      <family val="2"/>
    </font>
    <font>
      <u/>
      <sz val="10"/>
      <color theme="10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1" xfId="0" applyNumberFormat="1" applyBorder="1"/>
    <xf numFmtId="14" fontId="0" fillId="0" borderId="0" xfId="0" applyNumberFormat="1"/>
    <xf numFmtId="165" fontId="0" fillId="0" borderId="0" xfId="0" applyNumberFormat="1"/>
    <xf numFmtId="165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7" fontId="0" fillId="0" borderId="2" xfId="0" applyNumberFormat="1" applyFill="1" applyBorder="1" applyAlignment="1">
      <alignment horizontal="center" vertical="center"/>
    </xf>
    <xf numFmtId="0" fontId="0" fillId="2" borderId="0" xfId="0" applyFill="1"/>
    <xf numFmtId="0" fontId="0" fillId="0" borderId="5" xfId="0" applyNumberFormat="1" applyFill="1" applyBorder="1" applyAlignment="1">
      <alignment horizontal="center" vertical="center"/>
    </xf>
    <xf numFmtId="0" fontId="0" fillId="3" borderId="5" xfId="0" applyNumberFormat="1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4" xfId="0" applyNumberFormat="1" applyFill="1" applyBorder="1" applyAlignment="1">
      <alignment horizontal="center" vertical="center"/>
    </xf>
    <xf numFmtId="0" fontId="0" fillId="0" borderId="0" xfId="0" applyFill="1"/>
    <xf numFmtId="0" fontId="1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64" fontId="1" fillId="3" borderId="2" xfId="0" applyNumberFormat="1" applyFont="1" applyFill="1" applyBorder="1" applyAlignment="1">
      <alignment horizontal="center" vertical="center"/>
    </xf>
    <xf numFmtId="0" fontId="0" fillId="3" borderId="3" xfId="0" applyNumberFormat="1" applyFill="1" applyBorder="1" applyAlignment="1">
      <alignment horizontal="center" vertical="center"/>
    </xf>
    <xf numFmtId="0" fontId="1" fillId="3" borderId="5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7" fontId="1" fillId="0" borderId="1" xfId="0" applyNumberFormat="1" applyFont="1" applyBorder="1" applyAlignment="1">
      <alignment horizontal="center" vertical="center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5" xfId="0" applyFont="1" applyBorder="1"/>
    <xf numFmtId="0" fontId="6" fillId="4" borderId="0" xfId="0" applyFont="1" applyFill="1" applyBorder="1"/>
    <xf numFmtId="0" fontId="6" fillId="4" borderId="6" xfId="0" applyFont="1" applyFill="1" applyBorder="1"/>
    <xf numFmtId="0" fontId="6" fillId="4" borderId="11" xfId="0" applyFont="1" applyFill="1" applyBorder="1"/>
    <xf numFmtId="0" fontId="6" fillId="4" borderId="5" xfId="0" applyFont="1" applyFill="1" applyBorder="1"/>
    <xf numFmtId="0" fontId="6" fillId="0" borderId="1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3" xfId="0" applyNumberFormat="1" applyFill="1" applyBorder="1" applyAlignment="1">
      <alignment horizontal="center" vertical="center"/>
    </xf>
    <xf numFmtId="0" fontId="1" fillId="5" borderId="5" xfId="0" applyNumberFormat="1" applyFon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3" xfId="0" applyNumberFormat="1" applyFon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0" fontId="4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0" fillId="7" borderId="3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7" fontId="0" fillId="7" borderId="2" xfId="0" applyNumberForma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0" fillId="0" borderId="0" xfId="0" applyBorder="1"/>
    <xf numFmtId="0" fontId="2" fillId="0" borderId="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" fillId="0" borderId="0" xfId="0" applyFont="1"/>
    <xf numFmtId="0" fontId="10" fillId="6" borderId="0" xfId="0" applyFont="1" applyFill="1"/>
    <xf numFmtId="0" fontId="0" fillId="6" borderId="0" xfId="0" applyFill="1"/>
    <xf numFmtId="0" fontId="2" fillId="0" borderId="5" xfId="0" applyFont="1" applyFill="1" applyBorder="1" applyAlignment="1">
      <alignment horizontal="center" vertical="center"/>
    </xf>
    <xf numFmtId="2" fontId="0" fillId="0" borderId="0" xfId="0" applyNumberFormat="1"/>
    <xf numFmtId="0" fontId="11" fillId="6" borderId="1" xfId="0" applyNumberFormat="1" applyFont="1" applyFill="1" applyBorder="1" applyAlignment="1">
      <alignment horizontal="center" vertical="center"/>
    </xf>
    <xf numFmtId="0" fontId="11" fillId="6" borderId="0" xfId="0" applyNumberFormat="1" applyFont="1" applyFill="1" applyBorder="1" applyAlignment="1">
      <alignment horizontal="center" vertical="center"/>
    </xf>
    <xf numFmtId="167" fontId="11" fillId="6" borderId="0" xfId="0" applyNumberFormat="1" applyFont="1" applyFill="1" applyBorder="1" applyAlignment="1">
      <alignment horizontal="center" vertical="center"/>
    </xf>
    <xf numFmtId="164" fontId="11" fillId="6" borderId="0" xfId="0" applyNumberFormat="1" applyFont="1" applyFill="1" applyBorder="1" applyAlignment="1">
      <alignment horizontal="center" vertical="center"/>
    </xf>
    <xf numFmtId="0" fontId="12" fillId="6" borderId="0" xfId="0" applyFont="1" applyFill="1" applyBorder="1" applyAlignment="1"/>
    <xf numFmtId="0" fontId="2" fillId="0" borderId="7" xfId="0" applyFont="1" applyFill="1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13" fillId="4" borderId="0" xfId="0" applyFont="1" applyFill="1"/>
    <xf numFmtId="0" fontId="11" fillId="6" borderId="0" xfId="0" applyFont="1" applyFill="1" applyBorder="1" applyAlignment="1">
      <alignment horizontal="right"/>
    </xf>
    <xf numFmtId="0" fontId="0" fillId="0" borderId="0" xfId="0" applyAlignment="1">
      <alignment horizontal="center"/>
    </xf>
    <xf numFmtId="14" fontId="11" fillId="6" borderId="0" xfId="0" applyNumberFormat="1" applyFont="1" applyFill="1" applyBorder="1" applyAlignment="1">
      <alignment horizontal="right" vertical="center"/>
    </xf>
    <xf numFmtId="164" fontId="11" fillId="6" borderId="0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1" fillId="11" borderId="1" xfId="0" applyNumberFormat="1" applyFont="1" applyFill="1" applyBorder="1" applyAlignment="1">
      <alignment horizontal="center" vertical="center"/>
    </xf>
    <xf numFmtId="167" fontId="1" fillId="11" borderId="1" xfId="0" applyNumberFormat="1" applyFont="1" applyFill="1" applyBorder="1" applyAlignment="1">
      <alignment horizontal="center" vertical="center"/>
    </xf>
    <xf numFmtId="14" fontId="1" fillId="11" borderId="1" xfId="0" applyNumberFormat="1" applyFont="1" applyFill="1" applyBorder="1" applyAlignment="1">
      <alignment horizontal="center" vertical="center"/>
    </xf>
    <xf numFmtId="0" fontId="1" fillId="11" borderId="1" xfId="0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/>
    <xf numFmtId="0" fontId="14" fillId="0" borderId="0" xfId="0" applyFont="1"/>
    <xf numFmtId="0" fontId="1" fillId="0" borderId="7" xfId="0" applyFont="1" applyBorder="1" applyAlignment="1">
      <alignment horizontal="center"/>
    </xf>
    <xf numFmtId="0" fontId="11" fillId="6" borderId="1" xfId="0" quotePrefix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" fillId="0" borderId="0" xfId="0" applyFont="1"/>
    <xf numFmtId="0" fontId="17" fillId="0" borderId="0" xfId="0" applyFont="1" applyAlignment="1">
      <alignment horizontal="left" vertical="center"/>
    </xf>
    <xf numFmtId="0" fontId="13" fillId="0" borderId="1" xfId="0" applyNumberFormat="1" applyFont="1" applyBorder="1" applyAlignment="1">
      <alignment horizontal="center" vertical="center"/>
    </xf>
    <xf numFmtId="0" fontId="18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1" fillId="11" borderId="7" xfId="0" applyFont="1" applyFill="1" applyBorder="1" applyAlignment="1">
      <alignment horizontal="center" vertical="center"/>
    </xf>
    <xf numFmtId="0" fontId="19" fillId="0" borderId="0" xfId="0" applyFont="1"/>
    <xf numFmtId="0" fontId="20" fillId="0" borderId="0" xfId="1"/>
    <xf numFmtId="0" fontId="5" fillId="4" borderId="12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164" fontId="5" fillId="8" borderId="7" xfId="0" applyNumberFormat="1" applyFont="1" applyFill="1" applyBorder="1" applyAlignment="1">
      <alignment horizontal="center" vertical="center"/>
    </xf>
    <xf numFmtId="164" fontId="5" fillId="8" borderId="13" xfId="0" applyNumberFormat="1" applyFont="1" applyFill="1" applyBorder="1" applyAlignment="1">
      <alignment horizontal="center" vertical="center"/>
    </xf>
    <xf numFmtId="164" fontId="5" fillId="8" borderId="14" xfId="0" applyNumberFormat="1" applyFont="1" applyFill="1" applyBorder="1" applyAlignment="1">
      <alignment horizontal="center" vertical="center"/>
    </xf>
    <xf numFmtId="0" fontId="5" fillId="8" borderId="7" xfId="0" applyNumberFormat="1" applyFont="1" applyFill="1" applyBorder="1" applyAlignment="1">
      <alignment horizontal="center" vertical="center"/>
    </xf>
    <xf numFmtId="0" fontId="5" fillId="8" borderId="13" xfId="0" applyNumberFormat="1" applyFont="1" applyFill="1" applyBorder="1" applyAlignment="1">
      <alignment horizontal="center" vertical="center"/>
    </xf>
    <xf numFmtId="0" fontId="5" fillId="8" borderId="14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76200</xdr:colOff>
      <xdr:row>26</xdr:row>
      <xdr:rowOff>7620</xdr:rowOff>
    </xdr:from>
    <xdr:to>
      <xdr:col>24</xdr:col>
      <xdr:colOff>53340</xdr:colOff>
      <xdr:row>32</xdr:row>
      <xdr:rowOff>121920</xdr:rowOff>
    </xdr:to>
    <xdr:pic>
      <xdr:nvPicPr>
        <xdr:cNvPr id="2" name="Picture 2" descr="Description: Description: Hector A  Rey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18700" y="3985260"/>
          <a:ext cx="19050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485775</xdr:colOff>
      <xdr:row>7</xdr:row>
      <xdr:rowOff>47625</xdr:rowOff>
    </xdr:from>
    <xdr:to>
      <xdr:col>5</xdr:col>
      <xdr:colOff>180975</xdr:colOff>
      <xdr:row>12</xdr:row>
      <xdr:rowOff>28575</xdr:rowOff>
    </xdr:to>
    <xdr:sp macro="" textlink="">
      <xdr:nvSpPr>
        <xdr:cNvPr id="110" name="AutoShape 1"/>
        <xdr:cNvSpPr>
          <a:spLocks noChangeArrowheads="1"/>
        </xdr:cNvSpPr>
      </xdr:nvSpPr>
      <xdr:spPr bwMode="auto">
        <a:xfrm>
          <a:off x="485775" y="857250"/>
          <a:ext cx="914400" cy="79057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equipment with external cal certs</a:t>
          </a:r>
          <a:endParaRPr lang="en-US"/>
        </a:p>
      </xdr:txBody>
    </xdr:sp>
    <xdr:clientData/>
  </xdr:twoCellAnchor>
  <xdr:twoCellAnchor>
    <xdr:from>
      <xdr:col>3</xdr:col>
      <xdr:colOff>314325</xdr:colOff>
      <xdr:row>44</xdr:row>
      <xdr:rowOff>104775</xdr:rowOff>
    </xdr:from>
    <xdr:to>
      <xdr:col>5</xdr:col>
      <xdr:colOff>381000</xdr:colOff>
      <xdr:row>48</xdr:row>
      <xdr:rowOff>57150</xdr:rowOff>
    </xdr:to>
    <xdr:sp macro="" textlink="">
      <xdr:nvSpPr>
        <xdr:cNvPr id="111" name="AutoShape 2"/>
        <xdr:cNvSpPr>
          <a:spLocks noChangeArrowheads="1"/>
        </xdr:cNvSpPr>
      </xdr:nvSpPr>
      <xdr:spPr bwMode="auto">
        <a:xfrm>
          <a:off x="314325" y="6905625"/>
          <a:ext cx="1285875" cy="600075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File in Grp 25 data base</a:t>
          </a:r>
          <a:endParaRPr lang="en-US"/>
        </a:p>
      </xdr:txBody>
    </xdr:sp>
    <xdr:clientData/>
  </xdr:twoCellAnchor>
  <xdr:twoCellAnchor>
    <xdr:from>
      <xdr:col>6</xdr:col>
      <xdr:colOff>600075</xdr:colOff>
      <xdr:row>37</xdr:row>
      <xdr:rowOff>19050</xdr:rowOff>
    </xdr:from>
    <xdr:to>
      <xdr:col>9</xdr:col>
      <xdr:colOff>333375</xdr:colOff>
      <xdr:row>40</xdr:row>
      <xdr:rowOff>123825</xdr:rowOff>
    </xdr:to>
    <xdr:sp macro="" textlink="">
      <xdr:nvSpPr>
        <xdr:cNvPr id="112" name="AutoShape 3"/>
        <xdr:cNvSpPr>
          <a:spLocks noChangeArrowheads="1"/>
        </xdr:cNvSpPr>
      </xdr:nvSpPr>
      <xdr:spPr bwMode="auto">
        <a:xfrm>
          <a:off x="2428875" y="5686425"/>
          <a:ext cx="1562100" cy="590550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Send to QA</a:t>
          </a:r>
          <a:endParaRPr lang="en-US"/>
        </a:p>
      </xdr:txBody>
    </xdr:sp>
    <xdr:clientData/>
  </xdr:twoCellAnchor>
  <xdr:twoCellAnchor>
    <xdr:from>
      <xdr:col>3</xdr:col>
      <xdr:colOff>523875</xdr:colOff>
      <xdr:row>14</xdr:row>
      <xdr:rowOff>142875</xdr:rowOff>
    </xdr:from>
    <xdr:to>
      <xdr:col>5</xdr:col>
      <xdr:colOff>152400</xdr:colOff>
      <xdr:row>17</xdr:row>
      <xdr:rowOff>123825</xdr:rowOff>
    </xdr:to>
    <xdr:sp macro="" textlink="">
      <xdr:nvSpPr>
        <xdr:cNvPr id="113" name="AutoShape 4"/>
        <xdr:cNvSpPr>
          <a:spLocks noChangeArrowheads="1"/>
        </xdr:cNvSpPr>
      </xdr:nvSpPr>
      <xdr:spPr bwMode="auto">
        <a:xfrm>
          <a:off x="523875" y="2085975"/>
          <a:ext cx="84772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Input Equipment info in data base</a:t>
          </a:r>
          <a:endParaRPr lang="en-US"/>
        </a:p>
      </xdr:txBody>
    </xdr:sp>
    <xdr:clientData/>
  </xdr:twoCellAnchor>
  <xdr:twoCellAnchor>
    <xdr:from>
      <xdr:col>6</xdr:col>
      <xdr:colOff>495300</xdr:colOff>
      <xdr:row>25</xdr:row>
      <xdr:rowOff>9525</xdr:rowOff>
    </xdr:from>
    <xdr:to>
      <xdr:col>8</xdr:col>
      <xdr:colOff>485775</xdr:colOff>
      <xdr:row>27</xdr:row>
      <xdr:rowOff>152400</xdr:rowOff>
    </xdr:to>
    <xdr:sp macro="" textlink="">
      <xdr:nvSpPr>
        <xdr:cNvPr id="114" name="AutoShape 5"/>
        <xdr:cNvSpPr>
          <a:spLocks noChangeArrowheads="1"/>
        </xdr:cNvSpPr>
      </xdr:nvSpPr>
      <xdr:spPr bwMode="auto">
        <a:xfrm>
          <a:off x="2324100" y="3733800"/>
          <a:ext cx="120967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Send out for 17025 calibration</a:t>
          </a:r>
          <a:endParaRPr lang="en-US"/>
        </a:p>
      </xdr:txBody>
    </xdr:sp>
    <xdr:clientData/>
  </xdr:twoCellAnchor>
  <xdr:twoCellAnchor>
    <xdr:from>
      <xdr:col>3</xdr:col>
      <xdr:colOff>419100</xdr:colOff>
      <xdr:row>32</xdr:row>
      <xdr:rowOff>57150</xdr:rowOff>
    </xdr:from>
    <xdr:to>
      <xdr:col>5</xdr:col>
      <xdr:colOff>323850</xdr:colOff>
      <xdr:row>35</xdr:row>
      <xdr:rowOff>47625</xdr:rowOff>
    </xdr:to>
    <xdr:sp macro="" textlink="">
      <xdr:nvSpPr>
        <xdr:cNvPr id="115" name="AutoShape 6"/>
        <xdr:cNvSpPr>
          <a:spLocks noChangeArrowheads="1"/>
        </xdr:cNvSpPr>
      </xdr:nvSpPr>
      <xdr:spPr bwMode="auto">
        <a:xfrm>
          <a:off x="419100" y="4914900"/>
          <a:ext cx="1123950" cy="4762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input date of cal in cal log </a:t>
          </a:r>
          <a:endParaRPr lang="en-US"/>
        </a:p>
      </xdr:txBody>
    </xdr:sp>
    <xdr:clientData/>
  </xdr:twoCellAnchor>
  <xdr:twoCellAnchor>
    <xdr:from>
      <xdr:col>3</xdr:col>
      <xdr:colOff>371475</xdr:colOff>
      <xdr:row>22</xdr:row>
      <xdr:rowOff>152400</xdr:rowOff>
    </xdr:from>
    <xdr:to>
      <xdr:col>5</xdr:col>
      <xdr:colOff>371475</xdr:colOff>
      <xdr:row>30</xdr:row>
      <xdr:rowOff>28575</xdr:rowOff>
    </xdr:to>
    <xdr:sp macro="" textlink="">
      <xdr:nvSpPr>
        <xdr:cNvPr id="116" name="AutoShape 7"/>
        <xdr:cNvSpPr>
          <a:spLocks noChangeArrowheads="1"/>
        </xdr:cNvSpPr>
      </xdr:nvSpPr>
      <xdr:spPr bwMode="auto">
        <a:xfrm>
          <a:off x="371475" y="3390900"/>
          <a:ext cx="1219200" cy="1171575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Is cert 17025?</a:t>
          </a:r>
          <a:endParaRPr lang="en-US"/>
        </a:p>
      </xdr:txBody>
    </xdr:sp>
    <xdr:clientData/>
  </xdr:twoCellAnchor>
  <xdr:twoCellAnchor>
    <xdr:from>
      <xdr:col>3</xdr:col>
      <xdr:colOff>409575</xdr:colOff>
      <xdr:row>37</xdr:row>
      <xdr:rowOff>66675</xdr:rowOff>
    </xdr:from>
    <xdr:to>
      <xdr:col>5</xdr:col>
      <xdr:colOff>314325</xdr:colOff>
      <xdr:row>40</xdr:row>
      <xdr:rowOff>57150</xdr:rowOff>
    </xdr:to>
    <xdr:sp macro="" textlink="">
      <xdr:nvSpPr>
        <xdr:cNvPr id="117" name="AutoShape 8"/>
        <xdr:cNvSpPr>
          <a:spLocks noChangeArrowheads="1"/>
        </xdr:cNvSpPr>
      </xdr:nvSpPr>
      <xdr:spPr bwMode="auto">
        <a:xfrm>
          <a:off x="409575" y="5734050"/>
          <a:ext cx="1123950" cy="4762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make a PDF file of Cal cert</a:t>
          </a:r>
          <a:endParaRPr lang="en-US"/>
        </a:p>
      </xdr:txBody>
    </xdr:sp>
    <xdr:clientData/>
  </xdr:twoCellAnchor>
  <xdr:twoCellAnchor>
    <xdr:from>
      <xdr:col>4</xdr:col>
      <xdr:colOff>333375</xdr:colOff>
      <xdr:row>12</xdr:row>
      <xdr:rowOff>28575</xdr:rowOff>
    </xdr:from>
    <xdr:to>
      <xdr:col>4</xdr:col>
      <xdr:colOff>342900</xdr:colOff>
      <xdr:row>14</xdr:row>
      <xdr:rowOff>142875</xdr:rowOff>
    </xdr:to>
    <xdr:cxnSp macro="">
      <xdr:nvCxnSpPr>
        <xdr:cNvPr id="118" name="AutoShape 10"/>
        <xdr:cNvCxnSpPr>
          <a:cxnSpLocks noChangeShapeType="1"/>
          <a:stCxn id="110" idx="2"/>
          <a:endCxn id="113" idx="0"/>
        </xdr:cNvCxnSpPr>
      </xdr:nvCxnSpPr>
      <xdr:spPr bwMode="auto">
        <a:xfrm>
          <a:off x="942975" y="1647825"/>
          <a:ext cx="9525" cy="438150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342900</xdr:colOff>
      <xdr:row>17</xdr:row>
      <xdr:rowOff>123825</xdr:rowOff>
    </xdr:from>
    <xdr:to>
      <xdr:col>4</xdr:col>
      <xdr:colOff>371475</xdr:colOff>
      <xdr:row>22</xdr:row>
      <xdr:rowOff>152400</xdr:rowOff>
    </xdr:to>
    <xdr:cxnSp macro="">
      <xdr:nvCxnSpPr>
        <xdr:cNvPr id="119" name="AutoShape 11"/>
        <xdr:cNvCxnSpPr>
          <a:cxnSpLocks noChangeShapeType="1"/>
          <a:stCxn id="113" idx="2"/>
          <a:endCxn id="116" idx="0"/>
        </xdr:cNvCxnSpPr>
      </xdr:nvCxnSpPr>
      <xdr:spPr bwMode="auto">
        <a:xfrm>
          <a:off x="952500" y="2552700"/>
          <a:ext cx="28575" cy="83820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371475</xdr:colOff>
      <xdr:row>21</xdr:row>
      <xdr:rowOff>95250</xdr:rowOff>
    </xdr:from>
    <xdr:to>
      <xdr:col>4</xdr:col>
      <xdr:colOff>371475</xdr:colOff>
      <xdr:row>22</xdr:row>
      <xdr:rowOff>152400</xdr:rowOff>
    </xdr:to>
    <xdr:cxnSp macro="">
      <xdr:nvCxnSpPr>
        <xdr:cNvPr id="120" name="AutoShape 12"/>
        <xdr:cNvCxnSpPr>
          <a:cxnSpLocks noChangeShapeType="1"/>
          <a:endCxn id="116" idx="0"/>
        </xdr:cNvCxnSpPr>
      </xdr:nvCxnSpPr>
      <xdr:spPr bwMode="auto">
        <a:xfrm>
          <a:off x="981075" y="3171825"/>
          <a:ext cx="0" cy="21907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371475</xdr:colOff>
      <xdr:row>26</xdr:row>
      <xdr:rowOff>85725</xdr:rowOff>
    </xdr:from>
    <xdr:to>
      <xdr:col>6</xdr:col>
      <xdr:colOff>495300</xdr:colOff>
      <xdr:row>26</xdr:row>
      <xdr:rowOff>95250</xdr:rowOff>
    </xdr:to>
    <xdr:cxnSp macro="">
      <xdr:nvCxnSpPr>
        <xdr:cNvPr id="121" name="AutoShape 13"/>
        <xdr:cNvCxnSpPr>
          <a:cxnSpLocks noChangeShapeType="1"/>
          <a:stCxn id="116" idx="3"/>
          <a:endCxn id="114" idx="1"/>
        </xdr:cNvCxnSpPr>
      </xdr:nvCxnSpPr>
      <xdr:spPr bwMode="auto">
        <a:xfrm flipV="1">
          <a:off x="1590675" y="3971925"/>
          <a:ext cx="733425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371475</xdr:colOff>
      <xdr:row>30</xdr:row>
      <xdr:rowOff>28575</xdr:rowOff>
    </xdr:from>
    <xdr:to>
      <xdr:col>4</xdr:col>
      <xdr:colOff>371475</xdr:colOff>
      <xdr:row>32</xdr:row>
      <xdr:rowOff>57150</xdr:rowOff>
    </xdr:to>
    <xdr:cxnSp macro="">
      <xdr:nvCxnSpPr>
        <xdr:cNvPr id="122" name="AutoShape 14"/>
        <xdr:cNvCxnSpPr>
          <a:cxnSpLocks noChangeShapeType="1"/>
          <a:stCxn id="116" idx="2"/>
          <a:endCxn id="115" idx="0"/>
        </xdr:cNvCxnSpPr>
      </xdr:nvCxnSpPr>
      <xdr:spPr bwMode="auto">
        <a:xfrm>
          <a:off x="981075" y="4562475"/>
          <a:ext cx="0" cy="3524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371475</xdr:colOff>
      <xdr:row>35</xdr:row>
      <xdr:rowOff>47625</xdr:rowOff>
    </xdr:from>
    <xdr:to>
      <xdr:col>4</xdr:col>
      <xdr:colOff>371475</xdr:colOff>
      <xdr:row>37</xdr:row>
      <xdr:rowOff>57150</xdr:rowOff>
    </xdr:to>
    <xdr:cxnSp macro="">
      <xdr:nvCxnSpPr>
        <xdr:cNvPr id="123" name="AutoShape 15"/>
        <xdr:cNvCxnSpPr>
          <a:cxnSpLocks noChangeShapeType="1"/>
          <a:stCxn id="115" idx="2"/>
        </xdr:cNvCxnSpPr>
      </xdr:nvCxnSpPr>
      <xdr:spPr bwMode="auto">
        <a:xfrm>
          <a:off x="981075" y="5391150"/>
          <a:ext cx="0" cy="33337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352425</xdr:colOff>
      <xdr:row>40</xdr:row>
      <xdr:rowOff>57150</xdr:rowOff>
    </xdr:from>
    <xdr:to>
      <xdr:col>4</xdr:col>
      <xdr:colOff>361950</xdr:colOff>
      <xdr:row>44</xdr:row>
      <xdr:rowOff>104775</xdr:rowOff>
    </xdr:to>
    <xdr:cxnSp macro="">
      <xdr:nvCxnSpPr>
        <xdr:cNvPr id="124" name="AutoShape 16"/>
        <xdr:cNvCxnSpPr>
          <a:cxnSpLocks noChangeShapeType="1"/>
          <a:stCxn id="117" idx="2"/>
          <a:endCxn id="111" idx="0"/>
        </xdr:cNvCxnSpPr>
      </xdr:nvCxnSpPr>
      <xdr:spPr bwMode="auto">
        <a:xfrm flipH="1">
          <a:off x="962025" y="6210300"/>
          <a:ext cx="9525" cy="6953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314325</xdr:colOff>
      <xdr:row>38</xdr:row>
      <xdr:rowOff>142875</xdr:rowOff>
    </xdr:from>
    <xdr:to>
      <xdr:col>6</xdr:col>
      <xdr:colOff>600075</xdr:colOff>
      <xdr:row>38</xdr:row>
      <xdr:rowOff>152400</xdr:rowOff>
    </xdr:to>
    <xdr:cxnSp macro="">
      <xdr:nvCxnSpPr>
        <xdr:cNvPr id="125" name="AutoShape 17"/>
        <xdr:cNvCxnSpPr>
          <a:cxnSpLocks noChangeShapeType="1"/>
          <a:stCxn id="117" idx="3"/>
          <a:endCxn id="112" idx="1"/>
        </xdr:cNvCxnSpPr>
      </xdr:nvCxnSpPr>
      <xdr:spPr bwMode="auto">
        <a:xfrm>
          <a:off x="1533525" y="5972175"/>
          <a:ext cx="895350" cy="95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485775</xdr:colOff>
      <xdr:row>26</xdr:row>
      <xdr:rowOff>85725</xdr:rowOff>
    </xdr:from>
    <xdr:to>
      <xdr:col>10</xdr:col>
      <xdr:colOff>219075</xdr:colOff>
      <xdr:row>26</xdr:row>
      <xdr:rowOff>95250</xdr:rowOff>
    </xdr:to>
    <xdr:cxnSp macro="">
      <xdr:nvCxnSpPr>
        <xdr:cNvPr id="126" name="AutoShape 20"/>
        <xdr:cNvCxnSpPr>
          <a:cxnSpLocks noChangeShapeType="1"/>
          <a:stCxn id="114" idx="3"/>
        </xdr:cNvCxnSpPr>
      </xdr:nvCxnSpPr>
      <xdr:spPr bwMode="auto">
        <a:xfrm>
          <a:off x="3533775" y="3971925"/>
          <a:ext cx="952500" cy="9525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</xdr:col>
      <xdr:colOff>47625</xdr:colOff>
      <xdr:row>3</xdr:row>
      <xdr:rowOff>142875</xdr:rowOff>
    </xdr:from>
    <xdr:to>
      <xdr:col>9</xdr:col>
      <xdr:colOff>219075</xdr:colOff>
      <xdr:row>5</xdr:row>
      <xdr:rowOff>152400</xdr:rowOff>
    </xdr:to>
    <xdr:sp macro="" textlink="">
      <xdr:nvSpPr>
        <xdr:cNvPr id="127" name="Text Box 21"/>
        <xdr:cNvSpPr txBox="1">
          <a:spLocks noChangeArrowheads="1"/>
        </xdr:cNvSpPr>
      </xdr:nvSpPr>
      <xdr:spPr bwMode="auto">
        <a:xfrm>
          <a:off x="47625" y="304800"/>
          <a:ext cx="382905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45720" tIns="32004" rIns="45720" bIns="32004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External Calibrated Equipment </a:t>
          </a:r>
          <a:endParaRPr lang="en-US"/>
        </a:p>
      </xdr:txBody>
    </xdr:sp>
    <xdr:clientData/>
  </xdr:twoCellAnchor>
  <xdr:twoCellAnchor>
    <xdr:from>
      <xdr:col>5</xdr:col>
      <xdr:colOff>390525</xdr:colOff>
      <xdr:row>23</xdr:row>
      <xdr:rowOff>0</xdr:rowOff>
    </xdr:from>
    <xdr:to>
      <xdr:col>6</xdr:col>
      <xdr:colOff>142875</xdr:colOff>
      <xdr:row>24</xdr:row>
      <xdr:rowOff>19050</xdr:rowOff>
    </xdr:to>
    <xdr:sp macro="" textlink="">
      <xdr:nvSpPr>
        <xdr:cNvPr id="128" name="Text Box 25"/>
        <xdr:cNvSpPr txBox="1">
          <a:spLocks noChangeArrowheads="1"/>
        </xdr:cNvSpPr>
      </xdr:nvSpPr>
      <xdr:spPr bwMode="auto">
        <a:xfrm>
          <a:off x="1609725" y="340042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600075</xdr:colOff>
      <xdr:row>30</xdr:row>
      <xdr:rowOff>38100</xdr:rowOff>
    </xdr:from>
    <xdr:to>
      <xdr:col>4</xdr:col>
      <xdr:colOff>304800</xdr:colOff>
      <xdr:row>31</xdr:row>
      <xdr:rowOff>57150</xdr:rowOff>
    </xdr:to>
    <xdr:sp macro="" textlink="">
      <xdr:nvSpPr>
        <xdr:cNvPr id="129" name="Text Box 26"/>
        <xdr:cNvSpPr txBox="1">
          <a:spLocks noChangeArrowheads="1"/>
        </xdr:cNvSpPr>
      </xdr:nvSpPr>
      <xdr:spPr bwMode="auto">
        <a:xfrm>
          <a:off x="600075" y="4572000"/>
          <a:ext cx="3143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/>
        </a:p>
      </xdr:txBody>
    </xdr:sp>
    <xdr:clientData/>
  </xdr:twoCellAnchor>
  <xdr:twoCellAnchor>
    <xdr:from>
      <xdr:col>5</xdr:col>
      <xdr:colOff>419100</xdr:colOff>
      <xdr:row>25</xdr:row>
      <xdr:rowOff>57150</xdr:rowOff>
    </xdr:from>
    <xdr:to>
      <xdr:col>6</xdr:col>
      <xdr:colOff>171450</xdr:colOff>
      <xdr:row>26</xdr:row>
      <xdr:rowOff>76200</xdr:rowOff>
    </xdr:to>
    <xdr:sp macro="" textlink="">
      <xdr:nvSpPr>
        <xdr:cNvPr id="130" name="Text Box 28"/>
        <xdr:cNvSpPr txBox="1">
          <a:spLocks noChangeArrowheads="1"/>
        </xdr:cNvSpPr>
      </xdr:nvSpPr>
      <xdr:spPr bwMode="auto">
        <a:xfrm>
          <a:off x="1638300" y="378142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/>
        </a:p>
      </xdr:txBody>
    </xdr:sp>
    <xdr:clientData/>
  </xdr:twoCellAnchor>
  <xdr:twoCellAnchor>
    <xdr:from>
      <xdr:col>4</xdr:col>
      <xdr:colOff>361950</xdr:colOff>
      <xdr:row>37</xdr:row>
      <xdr:rowOff>66675</xdr:rowOff>
    </xdr:from>
    <xdr:to>
      <xdr:col>4</xdr:col>
      <xdr:colOff>371475</xdr:colOff>
      <xdr:row>37</xdr:row>
      <xdr:rowOff>104775</xdr:rowOff>
    </xdr:to>
    <xdr:cxnSp macro="">
      <xdr:nvCxnSpPr>
        <xdr:cNvPr id="131" name="AutoShape 39"/>
        <xdr:cNvCxnSpPr>
          <a:cxnSpLocks noChangeShapeType="1"/>
          <a:endCxn id="117" idx="0"/>
        </xdr:cNvCxnSpPr>
      </xdr:nvCxnSpPr>
      <xdr:spPr bwMode="auto">
        <a:xfrm flipH="1" flipV="1">
          <a:off x="971550" y="5734050"/>
          <a:ext cx="9525" cy="3810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209550</xdr:colOff>
      <xdr:row>20</xdr:row>
      <xdr:rowOff>114300</xdr:rowOff>
    </xdr:from>
    <xdr:to>
      <xdr:col>10</xdr:col>
      <xdr:colOff>228600</xdr:colOff>
      <xdr:row>26</xdr:row>
      <xdr:rowOff>85725</xdr:rowOff>
    </xdr:to>
    <xdr:cxnSp macro="">
      <xdr:nvCxnSpPr>
        <xdr:cNvPr id="132" name="AutoShape 40"/>
        <xdr:cNvCxnSpPr>
          <a:cxnSpLocks noChangeShapeType="1"/>
        </xdr:cNvCxnSpPr>
      </xdr:nvCxnSpPr>
      <xdr:spPr bwMode="auto">
        <a:xfrm flipH="1" flipV="1">
          <a:off x="4476750" y="3028950"/>
          <a:ext cx="19050" cy="94297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333375</xdr:colOff>
      <xdr:row>12</xdr:row>
      <xdr:rowOff>28575</xdr:rowOff>
    </xdr:from>
    <xdr:to>
      <xdr:col>4</xdr:col>
      <xdr:colOff>342900</xdr:colOff>
      <xdr:row>14</xdr:row>
      <xdr:rowOff>133350</xdr:rowOff>
    </xdr:to>
    <xdr:cxnSp macro="">
      <xdr:nvCxnSpPr>
        <xdr:cNvPr id="133" name="AutoShape 56"/>
        <xdr:cNvCxnSpPr>
          <a:cxnSpLocks noChangeShapeType="1"/>
        </xdr:cNvCxnSpPr>
      </xdr:nvCxnSpPr>
      <xdr:spPr bwMode="auto">
        <a:xfrm>
          <a:off x="942975" y="1647825"/>
          <a:ext cx="9525" cy="428625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561975</xdr:colOff>
      <xdr:row>19</xdr:row>
      <xdr:rowOff>66675</xdr:rowOff>
    </xdr:from>
    <xdr:to>
      <xdr:col>5</xdr:col>
      <xdr:colOff>190500</xdr:colOff>
      <xdr:row>22</xdr:row>
      <xdr:rowOff>47625</xdr:rowOff>
    </xdr:to>
    <xdr:sp macro="" textlink="">
      <xdr:nvSpPr>
        <xdr:cNvPr id="134" name="AutoShape 4"/>
        <xdr:cNvSpPr>
          <a:spLocks noChangeArrowheads="1"/>
        </xdr:cNvSpPr>
      </xdr:nvSpPr>
      <xdr:spPr bwMode="auto">
        <a:xfrm>
          <a:off x="561975" y="2819400"/>
          <a:ext cx="84772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Inspect Cal certificate</a:t>
          </a:r>
          <a:endParaRPr lang="en-US"/>
        </a:p>
      </xdr:txBody>
    </xdr:sp>
    <xdr:clientData/>
  </xdr:twoCellAnchor>
  <xdr:twoCellAnchor>
    <xdr:from>
      <xdr:col>5</xdr:col>
      <xdr:colOff>190500</xdr:colOff>
      <xdr:row>20</xdr:row>
      <xdr:rowOff>104775</xdr:rowOff>
    </xdr:from>
    <xdr:to>
      <xdr:col>10</xdr:col>
      <xdr:colOff>180975</xdr:colOff>
      <xdr:row>20</xdr:row>
      <xdr:rowOff>138113</xdr:rowOff>
    </xdr:to>
    <xdr:cxnSp macro="">
      <xdr:nvCxnSpPr>
        <xdr:cNvPr id="135" name="Straight Arrow Connector 134"/>
        <xdr:cNvCxnSpPr>
          <a:endCxn id="134" idx="3"/>
        </xdr:cNvCxnSpPr>
      </xdr:nvCxnSpPr>
      <xdr:spPr>
        <a:xfrm flipH="1">
          <a:off x="1409700" y="3019425"/>
          <a:ext cx="3038475" cy="33338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485775</xdr:colOff>
      <xdr:row>7</xdr:row>
      <xdr:rowOff>47625</xdr:rowOff>
    </xdr:from>
    <xdr:to>
      <xdr:col>13</xdr:col>
      <xdr:colOff>180975</xdr:colOff>
      <xdr:row>12</xdr:row>
      <xdr:rowOff>28575</xdr:rowOff>
    </xdr:to>
    <xdr:sp macro="" textlink="">
      <xdr:nvSpPr>
        <xdr:cNvPr id="136" name="AutoShape 1"/>
        <xdr:cNvSpPr>
          <a:spLocks noChangeArrowheads="1"/>
        </xdr:cNvSpPr>
      </xdr:nvSpPr>
      <xdr:spPr bwMode="auto">
        <a:xfrm>
          <a:off x="5362575" y="857250"/>
          <a:ext cx="914400" cy="79057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 equipment with internal cal cert</a:t>
          </a:r>
          <a:endParaRPr lang="en-US"/>
        </a:p>
      </xdr:txBody>
    </xdr:sp>
    <xdr:clientData/>
  </xdr:twoCellAnchor>
  <xdr:twoCellAnchor>
    <xdr:from>
      <xdr:col>11</xdr:col>
      <xdr:colOff>304800</xdr:colOff>
      <xdr:row>50</xdr:row>
      <xdr:rowOff>123825</xdr:rowOff>
    </xdr:from>
    <xdr:to>
      <xdr:col>13</xdr:col>
      <xdr:colOff>371475</xdr:colOff>
      <xdr:row>54</xdr:row>
      <xdr:rowOff>76200</xdr:rowOff>
    </xdr:to>
    <xdr:sp macro="" textlink="">
      <xdr:nvSpPr>
        <xdr:cNvPr id="137" name="AutoShape 2"/>
        <xdr:cNvSpPr>
          <a:spLocks noChangeArrowheads="1"/>
        </xdr:cNvSpPr>
      </xdr:nvSpPr>
      <xdr:spPr bwMode="auto">
        <a:xfrm>
          <a:off x="7010400" y="8343900"/>
          <a:ext cx="1285875" cy="600075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File in Grp 25 data base</a:t>
          </a:r>
          <a:endParaRPr lang="en-US"/>
        </a:p>
      </xdr:txBody>
    </xdr:sp>
    <xdr:clientData/>
  </xdr:twoCellAnchor>
  <xdr:twoCellAnchor>
    <xdr:from>
      <xdr:col>11</xdr:col>
      <xdr:colOff>523875</xdr:colOff>
      <xdr:row>14</xdr:row>
      <xdr:rowOff>142875</xdr:rowOff>
    </xdr:from>
    <xdr:to>
      <xdr:col>13</xdr:col>
      <xdr:colOff>152400</xdr:colOff>
      <xdr:row>17</xdr:row>
      <xdr:rowOff>123825</xdr:rowOff>
    </xdr:to>
    <xdr:sp macro="" textlink="">
      <xdr:nvSpPr>
        <xdr:cNvPr id="138" name="AutoShape 4"/>
        <xdr:cNvSpPr>
          <a:spLocks noChangeArrowheads="1"/>
        </xdr:cNvSpPr>
      </xdr:nvSpPr>
      <xdr:spPr bwMode="auto">
        <a:xfrm>
          <a:off x="5400675" y="2085975"/>
          <a:ext cx="84772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Input Equipment info in data base</a:t>
          </a:r>
          <a:endParaRPr lang="en-US"/>
        </a:p>
      </xdr:txBody>
    </xdr:sp>
    <xdr:clientData/>
  </xdr:twoCellAnchor>
  <xdr:twoCellAnchor>
    <xdr:from>
      <xdr:col>13</xdr:col>
      <xdr:colOff>561975</xdr:colOff>
      <xdr:row>23</xdr:row>
      <xdr:rowOff>57150</xdr:rowOff>
    </xdr:from>
    <xdr:to>
      <xdr:col>15</xdr:col>
      <xdr:colOff>266700</xdr:colOff>
      <xdr:row>26</xdr:row>
      <xdr:rowOff>38100</xdr:rowOff>
    </xdr:to>
    <xdr:sp macro="" textlink="">
      <xdr:nvSpPr>
        <xdr:cNvPr id="139" name="AutoShape 5"/>
        <xdr:cNvSpPr>
          <a:spLocks noChangeArrowheads="1"/>
        </xdr:cNvSpPr>
      </xdr:nvSpPr>
      <xdr:spPr bwMode="auto">
        <a:xfrm>
          <a:off x="6657975" y="3457575"/>
          <a:ext cx="92392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 calibrate instrument</a:t>
          </a:r>
          <a:endParaRPr lang="en-US"/>
        </a:p>
      </xdr:txBody>
    </xdr:sp>
    <xdr:clientData/>
  </xdr:twoCellAnchor>
  <xdr:twoCellAnchor>
    <xdr:from>
      <xdr:col>11</xdr:col>
      <xdr:colOff>381000</xdr:colOff>
      <xdr:row>41</xdr:row>
      <xdr:rowOff>66674</xdr:rowOff>
    </xdr:from>
    <xdr:to>
      <xdr:col>13</xdr:col>
      <xdr:colOff>285750</xdr:colOff>
      <xdr:row>44</xdr:row>
      <xdr:rowOff>123824</xdr:rowOff>
    </xdr:to>
    <xdr:sp macro="" textlink="">
      <xdr:nvSpPr>
        <xdr:cNvPr id="140" name="AutoShape 6"/>
        <xdr:cNvSpPr>
          <a:spLocks noChangeArrowheads="1"/>
        </xdr:cNvSpPr>
      </xdr:nvSpPr>
      <xdr:spPr bwMode="auto">
        <a:xfrm>
          <a:off x="7086600" y="6829424"/>
          <a:ext cx="1123950" cy="5429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input date of cal in cal log </a:t>
          </a:r>
          <a:endParaRPr lang="en-US"/>
        </a:p>
      </xdr:txBody>
    </xdr:sp>
    <xdr:clientData/>
  </xdr:twoCellAnchor>
  <xdr:twoCellAnchor>
    <xdr:from>
      <xdr:col>11</xdr:col>
      <xdr:colOff>314325</xdr:colOff>
      <xdr:row>26</xdr:row>
      <xdr:rowOff>85725</xdr:rowOff>
    </xdr:from>
    <xdr:to>
      <xdr:col>13</xdr:col>
      <xdr:colOff>314325</xdr:colOff>
      <xdr:row>33</xdr:row>
      <xdr:rowOff>123825</xdr:rowOff>
    </xdr:to>
    <xdr:sp macro="" textlink="">
      <xdr:nvSpPr>
        <xdr:cNvPr id="141" name="AutoShape 7"/>
        <xdr:cNvSpPr>
          <a:spLocks noChangeArrowheads="1"/>
        </xdr:cNvSpPr>
      </xdr:nvSpPr>
      <xdr:spPr bwMode="auto">
        <a:xfrm>
          <a:off x="5191125" y="3971925"/>
          <a:ext cx="1219200" cy="1171575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Is equipment calibrated?</a:t>
          </a:r>
          <a:endParaRPr lang="en-US"/>
        </a:p>
      </xdr:txBody>
    </xdr:sp>
    <xdr:clientData/>
  </xdr:twoCellAnchor>
  <xdr:twoCellAnchor>
    <xdr:from>
      <xdr:col>11</xdr:col>
      <xdr:colOff>381000</xdr:colOff>
      <xdr:row>46</xdr:row>
      <xdr:rowOff>57150</xdr:rowOff>
    </xdr:from>
    <xdr:to>
      <xdr:col>13</xdr:col>
      <xdr:colOff>285750</xdr:colOff>
      <xdr:row>49</xdr:row>
      <xdr:rowOff>47625</xdr:rowOff>
    </xdr:to>
    <xdr:sp macro="" textlink="">
      <xdr:nvSpPr>
        <xdr:cNvPr id="142" name="AutoShape 8"/>
        <xdr:cNvSpPr>
          <a:spLocks noChangeArrowheads="1"/>
        </xdr:cNvSpPr>
      </xdr:nvSpPr>
      <xdr:spPr bwMode="auto">
        <a:xfrm>
          <a:off x="7086600" y="7629525"/>
          <a:ext cx="1123950" cy="4762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make a PDF file of Cal cert</a:t>
          </a:r>
          <a:endParaRPr lang="en-US"/>
        </a:p>
      </xdr:txBody>
    </xdr:sp>
    <xdr:clientData/>
  </xdr:twoCellAnchor>
  <xdr:twoCellAnchor>
    <xdr:from>
      <xdr:col>12</xdr:col>
      <xdr:colOff>333375</xdr:colOff>
      <xdr:row>12</xdr:row>
      <xdr:rowOff>28575</xdr:rowOff>
    </xdr:from>
    <xdr:to>
      <xdr:col>12</xdr:col>
      <xdr:colOff>342900</xdr:colOff>
      <xdr:row>14</xdr:row>
      <xdr:rowOff>142875</xdr:rowOff>
    </xdr:to>
    <xdr:cxnSp macro="">
      <xdr:nvCxnSpPr>
        <xdr:cNvPr id="143" name="AutoShape 10"/>
        <xdr:cNvCxnSpPr>
          <a:cxnSpLocks noChangeShapeType="1"/>
          <a:stCxn id="136" idx="2"/>
          <a:endCxn id="138" idx="0"/>
        </xdr:cNvCxnSpPr>
      </xdr:nvCxnSpPr>
      <xdr:spPr bwMode="auto">
        <a:xfrm>
          <a:off x="5819775" y="1647825"/>
          <a:ext cx="9525" cy="438150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314325</xdr:colOff>
      <xdr:row>17</xdr:row>
      <xdr:rowOff>123825</xdr:rowOff>
    </xdr:from>
    <xdr:to>
      <xdr:col>12</xdr:col>
      <xdr:colOff>342900</xdr:colOff>
      <xdr:row>26</xdr:row>
      <xdr:rowOff>85725</xdr:rowOff>
    </xdr:to>
    <xdr:cxnSp macro="">
      <xdr:nvCxnSpPr>
        <xdr:cNvPr id="144" name="AutoShape 11"/>
        <xdr:cNvCxnSpPr>
          <a:cxnSpLocks noChangeShapeType="1"/>
          <a:stCxn id="138" idx="2"/>
          <a:endCxn id="141" idx="0"/>
        </xdr:cNvCxnSpPr>
      </xdr:nvCxnSpPr>
      <xdr:spPr bwMode="auto">
        <a:xfrm flipH="1">
          <a:off x="5800725" y="2552700"/>
          <a:ext cx="28575" cy="14192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314325</xdr:colOff>
      <xdr:row>25</xdr:row>
      <xdr:rowOff>28575</xdr:rowOff>
    </xdr:from>
    <xdr:to>
      <xdr:col>12</xdr:col>
      <xdr:colOff>314325</xdr:colOff>
      <xdr:row>26</xdr:row>
      <xdr:rowOff>85725</xdr:rowOff>
    </xdr:to>
    <xdr:cxnSp macro="">
      <xdr:nvCxnSpPr>
        <xdr:cNvPr id="145" name="AutoShape 12"/>
        <xdr:cNvCxnSpPr>
          <a:cxnSpLocks noChangeShapeType="1"/>
          <a:endCxn id="141" idx="0"/>
        </xdr:cNvCxnSpPr>
      </xdr:nvCxnSpPr>
      <xdr:spPr bwMode="auto">
        <a:xfrm>
          <a:off x="5800725" y="3752850"/>
          <a:ext cx="0" cy="21907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314325</xdr:colOff>
      <xdr:row>33</xdr:row>
      <xdr:rowOff>123825</xdr:rowOff>
    </xdr:from>
    <xdr:to>
      <xdr:col>12</xdr:col>
      <xdr:colOff>333375</xdr:colOff>
      <xdr:row>36</xdr:row>
      <xdr:rowOff>95250</xdr:rowOff>
    </xdr:to>
    <xdr:cxnSp macro="">
      <xdr:nvCxnSpPr>
        <xdr:cNvPr id="146" name="AutoShape 14"/>
        <xdr:cNvCxnSpPr>
          <a:cxnSpLocks noChangeShapeType="1"/>
          <a:stCxn id="141" idx="2"/>
        </xdr:cNvCxnSpPr>
      </xdr:nvCxnSpPr>
      <xdr:spPr bwMode="auto">
        <a:xfrm>
          <a:off x="7629525" y="5591175"/>
          <a:ext cx="19050" cy="457200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44</xdr:row>
      <xdr:rowOff>123824</xdr:rowOff>
    </xdr:from>
    <xdr:to>
      <xdr:col>12</xdr:col>
      <xdr:colOff>333375</xdr:colOff>
      <xdr:row>46</xdr:row>
      <xdr:rowOff>66675</xdr:rowOff>
    </xdr:to>
    <xdr:cxnSp macro="">
      <xdr:nvCxnSpPr>
        <xdr:cNvPr id="147" name="AutoShape 15"/>
        <xdr:cNvCxnSpPr>
          <a:cxnSpLocks noChangeShapeType="1"/>
          <a:stCxn id="140" idx="2"/>
        </xdr:cNvCxnSpPr>
      </xdr:nvCxnSpPr>
      <xdr:spPr bwMode="auto">
        <a:xfrm>
          <a:off x="7648575" y="7372349"/>
          <a:ext cx="0" cy="266701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333375</xdr:colOff>
      <xdr:row>49</xdr:row>
      <xdr:rowOff>47625</xdr:rowOff>
    </xdr:from>
    <xdr:to>
      <xdr:col>12</xdr:col>
      <xdr:colOff>338138</xdr:colOff>
      <xdr:row>50</xdr:row>
      <xdr:rowOff>123825</xdr:rowOff>
    </xdr:to>
    <xdr:cxnSp macro="">
      <xdr:nvCxnSpPr>
        <xdr:cNvPr id="148" name="AutoShape 16"/>
        <xdr:cNvCxnSpPr>
          <a:cxnSpLocks noChangeShapeType="1"/>
          <a:stCxn id="142" idx="2"/>
          <a:endCxn id="137" idx="0"/>
        </xdr:cNvCxnSpPr>
      </xdr:nvCxnSpPr>
      <xdr:spPr bwMode="auto">
        <a:xfrm>
          <a:off x="7648575" y="8105775"/>
          <a:ext cx="4763" cy="238125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161925</xdr:colOff>
      <xdr:row>3</xdr:row>
      <xdr:rowOff>123825</xdr:rowOff>
    </xdr:from>
    <xdr:to>
      <xdr:col>17</xdr:col>
      <xdr:colOff>314325</xdr:colOff>
      <xdr:row>5</xdr:row>
      <xdr:rowOff>133350</xdr:rowOff>
    </xdr:to>
    <xdr:sp macro="" textlink="">
      <xdr:nvSpPr>
        <xdr:cNvPr id="149" name="Text Box 21"/>
        <xdr:cNvSpPr txBox="1">
          <a:spLocks noChangeArrowheads="1"/>
        </xdr:cNvSpPr>
      </xdr:nvSpPr>
      <xdr:spPr bwMode="auto">
        <a:xfrm>
          <a:off x="5038725" y="285750"/>
          <a:ext cx="381000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45720" tIns="32004" rIns="45720" bIns="32004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Internal Calibrated  Equipment </a:t>
          </a:r>
          <a:endParaRPr lang="en-US"/>
        </a:p>
      </xdr:txBody>
    </xdr:sp>
    <xdr:clientData/>
  </xdr:twoCellAnchor>
  <xdr:twoCellAnchor>
    <xdr:from>
      <xdr:col>13</xdr:col>
      <xdr:colOff>390525</xdr:colOff>
      <xdr:row>23</xdr:row>
      <xdr:rowOff>0</xdr:rowOff>
    </xdr:from>
    <xdr:to>
      <xdr:col>14</xdr:col>
      <xdr:colOff>142875</xdr:colOff>
      <xdr:row>24</xdr:row>
      <xdr:rowOff>19050</xdr:rowOff>
    </xdr:to>
    <xdr:sp macro="" textlink="">
      <xdr:nvSpPr>
        <xdr:cNvPr id="150" name="Text Box 25"/>
        <xdr:cNvSpPr txBox="1">
          <a:spLocks noChangeArrowheads="1"/>
        </xdr:cNvSpPr>
      </xdr:nvSpPr>
      <xdr:spPr bwMode="auto">
        <a:xfrm>
          <a:off x="6486525" y="340042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457200</xdr:colOff>
      <xdr:row>34</xdr:row>
      <xdr:rowOff>19050</xdr:rowOff>
    </xdr:from>
    <xdr:to>
      <xdr:col>12</xdr:col>
      <xdr:colOff>161925</xdr:colOff>
      <xdr:row>35</xdr:row>
      <xdr:rowOff>38100</xdr:rowOff>
    </xdr:to>
    <xdr:sp macro="" textlink="">
      <xdr:nvSpPr>
        <xdr:cNvPr id="151" name="Text Box 26"/>
        <xdr:cNvSpPr txBox="1">
          <a:spLocks noChangeArrowheads="1"/>
        </xdr:cNvSpPr>
      </xdr:nvSpPr>
      <xdr:spPr bwMode="auto">
        <a:xfrm>
          <a:off x="5334000" y="5200650"/>
          <a:ext cx="3143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/>
        </a:p>
      </xdr:txBody>
    </xdr:sp>
    <xdr:clientData/>
  </xdr:twoCellAnchor>
  <xdr:twoCellAnchor>
    <xdr:from>
      <xdr:col>14</xdr:col>
      <xdr:colOff>57150</xdr:colOff>
      <xdr:row>28</xdr:row>
      <xdr:rowOff>133350</xdr:rowOff>
    </xdr:from>
    <xdr:to>
      <xdr:col>14</xdr:col>
      <xdr:colOff>419100</xdr:colOff>
      <xdr:row>29</xdr:row>
      <xdr:rowOff>152400</xdr:rowOff>
    </xdr:to>
    <xdr:sp macro="" textlink="">
      <xdr:nvSpPr>
        <xdr:cNvPr id="152" name="Text Box 28"/>
        <xdr:cNvSpPr txBox="1">
          <a:spLocks noChangeArrowheads="1"/>
        </xdr:cNvSpPr>
      </xdr:nvSpPr>
      <xdr:spPr bwMode="auto">
        <a:xfrm>
          <a:off x="6762750" y="4343400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/>
        </a:p>
      </xdr:txBody>
    </xdr:sp>
    <xdr:clientData/>
  </xdr:twoCellAnchor>
  <xdr:twoCellAnchor>
    <xdr:from>
      <xdr:col>12</xdr:col>
      <xdr:colOff>333375</xdr:colOff>
      <xdr:row>12</xdr:row>
      <xdr:rowOff>28575</xdr:rowOff>
    </xdr:from>
    <xdr:to>
      <xdr:col>12</xdr:col>
      <xdr:colOff>342900</xdr:colOff>
      <xdr:row>14</xdr:row>
      <xdr:rowOff>133350</xdr:rowOff>
    </xdr:to>
    <xdr:cxnSp macro="">
      <xdr:nvCxnSpPr>
        <xdr:cNvPr id="153" name="AutoShape 56"/>
        <xdr:cNvCxnSpPr>
          <a:cxnSpLocks noChangeShapeType="1"/>
        </xdr:cNvCxnSpPr>
      </xdr:nvCxnSpPr>
      <xdr:spPr bwMode="auto">
        <a:xfrm>
          <a:off x="5819775" y="1647825"/>
          <a:ext cx="9525" cy="428625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19</xdr:row>
      <xdr:rowOff>152400</xdr:rowOff>
    </xdr:from>
    <xdr:to>
      <xdr:col>13</xdr:col>
      <xdr:colOff>152400</xdr:colOff>
      <xdr:row>22</xdr:row>
      <xdr:rowOff>133350</xdr:rowOff>
    </xdr:to>
    <xdr:sp macro="" textlink="">
      <xdr:nvSpPr>
        <xdr:cNvPr id="154" name="AutoShape 4"/>
        <xdr:cNvSpPr>
          <a:spLocks noChangeArrowheads="1"/>
        </xdr:cNvSpPr>
      </xdr:nvSpPr>
      <xdr:spPr bwMode="auto">
        <a:xfrm>
          <a:off x="5400675" y="2905125"/>
          <a:ext cx="847725" cy="46672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inspect cal cert</a:t>
          </a:r>
          <a:endParaRPr lang="en-US"/>
        </a:p>
      </xdr:txBody>
    </xdr:sp>
    <xdr:clientData/>
  </xdr:twoCellAnchor>
  <xdr:twoCellAnchor>
    <xdr:from>
      <xdr:col>15</xdr:col>
      <xdr:colOff>161924</xdr:colOff>
      <xdr:row>26</xdr:row>
      <xdr:rowOff>66675</xdr:rowOff>
    </xdr:from>
    <xdr:to>
      <xdr:col>17</xdr:col>
      <xdr:colOff>266700</xdr:colOff>
      <xdr:row>34</xdr:row>
      <xdr:rowOff>0</xdr:rowOff>
    </xdr:to>
    <xdr:sp macro="" textlink="">
      <xdr:nvSpPr>
        <xdr:cNvPr id="155" name="AutoShape 7"/>
        <xdr:cNvSpPr>
          <a:spLocks noChangeArrowheads="1"/>
        </xdr:cNvSpPr>
      </xdr:nvSpPr>
      <xdr:spPr bwMode="auto">
        <a:xfrm>
          <a:off x="7477124" y="3952875"/>
          <a:ext cx="1323976" cy="1228725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Do this equipment need calibration?</a:t>
          </a:r>
          <a:endParaRPr lang="en-US"/>
        </a:p>
      </xdr:txBody>
    </xdr:sp>
    <xdr:clientData/>
  </xdr:twoCellAnchor>
  <xdr:twoCellAnchor>
    <xdr:from>
      <xdr:col>13</xdr:col>
      <xdr:colOff>314325</xdr:colOff>
      <xdr:row>30</xdr:row>
      <xdr:rowOff>23813</xdr:rowOff>
    </xdr:from>
    <xdr:to>
      <xdr:col>15</xdr:col>
      <xdr:colOff>161924</xdr:colOff>
      <xdr:row>30</xdr:row>
      <xdr:rowOff>33338</xdr:rowOff>
    </xdr:to>
    <xdr:cxnSp macro="">
      <xdr:nvCxnSpPr>
        <xdr:cNvPr id="156" name="Straight Arrow Connector 155"/>
        <xdr:cNvCxnSpPr>
          <a:stCxn id="141" idx="3"/>
          <a:endCxn id="155" idx="1"/>
        </xdr:cNvCxnSpPr>
      </xdr:nvCxnSpPr>
      <xdr:spPr>
        <a:xfrm>
          <a:off x="6410325" y="4557713"/>
          <a:ext cx="1066799" cy="9525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276226</xdr:colOff>
      <xdr:row>28</xdr:row>
      <xdr:rowOff>76200</xdr:rowOff>
    </xdr:from>
    <xdr:to>
      <xdr:col>20</xdr:col>
      <xdr:colOff>314325</xdr:colOff>
      <xdr:row>32</xdr:row>
      <xdr:rowOff>19050</xdr:rowOff>
    </xdr:to>
    <xdr:sp macro="" textlink="">
      <xdr:nvSpPr>
        <xdr:cNvPr id="157" name="AutoShape 3"/>
        <xdr:cNvSpPr>
          <a:spLocks noChangeArrowheads="1"/>
        </xdr:cNvSpPr>
      </xdr:nvSpPr>
      <xdr:spPr bwMode="auto">
        <a:xfrm>
          <a:off x="9420226" y="4286250"/>
          <a:ext cx="1257299" cy="590550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Put equipment in Cell 2 or cell 4</a:t>
          </a:r>
          <a:endParaRPr lang="en-US"/>
        </a:p>
      </xdr:txBody>
    </xdr:sp>
    <xdr:clientData/>
  </xdr:twoCellAnchor>
  <xdr:twoCellAnchor>
    <xdr:from>
      <xdr:col>17</xdr:col>
      <xdr:colOff>381000</xdr:colOff>
      <xdr:row>28</xdr:row>
      <xdr:rowOff>123825</xdr:rowOff>
    </xdr:from>
    <xdr:to>
      <xdr:col>18</xdr:col>
      <xdr:colOff>133350</xdr:colOff>
      <xdr:row>29</xdr:row>
      <xdr:rowOff>142875</xdr:rowOff>
    </xdr:to>
    <xdr:sp macro="" textlink="">
      <xdr:nvSpPr>
        <xdr:cNvPr id="158" name="Text Box 28"/>
        <xdr:cNvSpPr txBox="1">
          <a:spLocks noChangeArrowheads="1"/>
        </xdr:cNvSpPr>
      </xdr:nvSpPr>
      <xdr:spPr bwMode="auto">
        <a:xfrm>
          <a:off x="8915400" y="433387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/>
        </a:p>
      </xdr:txBody>
    </xdr:sp>
    <xdr:clientData/>
  </xdr:twoCellAnchor>
  <xdr:twoCellAnchor>
    <xdr:from>
      <xdr:col>16</xdr:col>
      <xdr:colOff>266700</xdr:colOff>
      <xdr:row>25</xdr:row>
      <xdr:rowOff>28575</xdr:rowOff>
    </xdr:from>
    <xdr:to>
      <xdr:col>16</xdr:col>
      <xdr:colOff>581025</xdr:colOff>
      <xdr:row>26</xdr:row>
      <xdr:rowOff>47625</xdr:rowOff>
    </xdr:to>
    <xdr:sp macro="" textlink="">
      <xdr:nvSpPr>
        <xdr:cNvPr id="159" name="Text Box 26"/>
        <xdr:cNvSpPr txBox="1">
          <a:spLocks noChangeArrowheads="1"/>
        </xdr:cNvSpPr>
      </xdr:nvSpPr>
      <xdr:spPr bwMode="auto">
        <a:xfrm>
          <a:off x="8191500" y="3752850"/>
          <a:ext cx="3143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/>
        </a:p>
      </xdr:txBody>
    </xdr:sp>
    <xdr:clientData/>
  </xdr:twoCellAnchor>
  <xdr:twoCellAnchor>
    <xdr:from>
      <xdr:col>16</xdr:col>
      <xdr:colOff>209550</xdr:colOff>
      <xdr:row>25</xdr:row>
      <xdr:rowOff>19050</xdr:rowOff>
    </xdr:from>
    <xdr:to>
      <xdr:col>16</xdr:col>
      <xdr:colOff>214312</xdr:colOff>
      <xdr:row>26</xdr:row>
      <xdr:rowOff>66675</xdr:rowOff>
    </xdr:to>
    <xdr:cxnSp macro="">
      <xdr:nvCxnSpPr>
        <xdr:cNvPr id="160" name="Straight Arrow Connector 159"/>
        <xdr:cNvCxnSpPr>
          <a:stCxn id="155" idx="0"/>
        </xdr:cNvCxnSpPr>
      </xdr:nvCxnSpPr>
      <xdr:spPr>
        <a:xfrm flipH="1" flipV="1">
          <a:off x="8134350" y="3743325"/>
          <a:ext cx="4762" cy="20955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24</xdr:row>
      <xdr:rowOff>128588</xdr:rowOff>
    </xdr:from>
    <xdr:to>
      <xdr:col>16</xdr:col>
      <xdr:colOff>200025</xdr:colOff>
      <xdr:row>24</xdr:row>
      <xdr:rowOff>133350</xdr:rowOff>
    </xdr:to>
    <xdr:cxnSp macro="">
      <xdr:nvCxnSpPr>
        <xdr:cNvPr id="161" name="Straight Arrow Connector 160"/>
        <xdr:cNvCxnSpPr>
          <a:endCxn id="139" idx="3"/>
        </xdr:cNvCxnSpPr>
      </xdr:nvCxnSpPr>
      <xdr:spPr>
        <a:xfrm flipH="1" flipV="1">
          <a:off x="7581900" y="3690938"/>
          <a:ext cx="542925" cy="4762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323850</xdr:colOff>
      <xdr:row>24</xdr:row>
      <xdr:rowOff>128588</xdr:rowOff>
    </xdr:from>
    <xdr:to>
      <xdr:col>13</xdr:col>
      <xdr:colOff>561975</xdr:colOff>
      <xdr:row>24</xdr:row>
      <xdr:rowOff>133350</xdr:rowOff>
    </xdr:to>
    <xdr:cxnSp macro="">
      <xdr:nvCxnSpPr>
        <xdr:cNvPr id="162" name="Straight Arrow Connector 161"/>
        <xdr:cNvCxnSpPr>
          <a:stCxn id="139" idx="1"/>
        </xdr:cNvCxnSpPr>
      </xdr:nvCxnSpPr>
      <xdr:spPr>
        <a:xfrm flipH="1">
          <a:off x="5810250" y="3690938"/>
          <a:ext cx="847725" cy="4762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266700</xdr:colOff>
      <xdr:row>30</xdr:row>
      <xdr:rowOff>33338</xdr:rowOff>
    </xdr:from>
    <xdr:to>
      <xdr:col>18</xdr:col>
      <xdr:colOff>276226</xdr:colOff>
      <xdr:row>30</xdr:row>
      <xdr:rowOff>47625</xdr:rowOff>
    </xdr:to>
    <xdr:cxnSp macro="">
      <xdr:nvCxnSpPr>
        <xdr:cNvPr id="163" name="Straight Arrow Connector 162"/>
        <xdr:cNvCxnSpPr>
          <a:stCxn id="155" idx="3"/>
          <a:endCxn id="157" idx="1"/>
        </xdr:cNvCxnSpPr>
      </xdr:nvCxnSpPr>
      <xdr:spPr>
        <a:xfrm>
          <a:off x="8801100" y="4567238"/>
          <a:ext cx="619126" cy="14287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219075</xdr:colOff>
      <xdr:row>63</xdr:row>
      <xdr:rowOff>114299</xdr:rowOff>
    </xdr:from>
    <xdr:to>
      <xdr:col>5</xdr:col>
      <xdr:colOff>523875</xdr:colOff>
      <xdr:row>66</xdr:row>
      <xdr:rowOff>228599</xdr:rowOff>
    </xdr:to>
    <xdr:sp macro="" textlink="">
      <xdr:nvSpPr>
        <xdr:cNvPr id="164" name="AutoShape 1"/>
        <xdr:cNvSpPr>
          <a:spLocks noChangeArrowheads="1"/>
        </xdr:cNvSpPr>
      </xdr:nvSpPr>
      <xdr:spPr bwMode="auto">
        <a:xfrm>
          <a:off x="828675" y="9991724"/>
          <a:ext cx="914400" cy="600075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  Locate Equipment by ID &amp; SN</a:t>
          </a:r>
          <a:endParaRPr lang="en-US"/>
        </a:p>
      </xdr:txBody>
    </xdr:sp>
    <xdr:clientData/>
  </xdr:twoCellAnchor>
  <xdr:twoCellAnchor>
    <xdr:from>
      <xdr:col>5</xdr:col>
      <xdr:colOff>66675</xdr:colOff>
      <xdr:row>66</xdr:row>
      <xdr:rowOff>228600</xdr:rowOff>
    </xdr:from>
    <xdr:to>
      <xdr:col>5</xdr:col>
      <xdr:colOff>76200</xdr:colOff>
      <xdr:row>69</xdr:row>
      <xdr:rowOff>57150</xdr:rowOff>
    </xdr:to>
    <xdr:cxnSp macro="">
      <xdr:nvCxnSpPr>
        <xdr:cNvPr id="165" name="AutoShape 10"/>
        <xdr:cNvCxnSpPr>
          <a:cxnSpLocks noChangeShapeType="1"/>
          <a:stCxn id="164" idx="2"/>
        </xdr:cNvCxnSpPr>
      </xdr:nvCxnSpPr>
      <xdr:spPr bwMode="auto">
        <a:xfrm>
          <a:off x="1285875" y="10591800"/>
          <a:ext cx="9525" cy="438150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142875</xdr:colOff>
      <xdr:row>59</xdr:row>
      <xdr:rowOff>76200</xdr:rowOff>
    </xdr:from>
    <xdr:to>
      <xdr:col>11</xdr:col>
      <xdr:colOff>457200</xdr:colOff>
      <xdr:row>61</xdr:row>
      <xdr:rowOff>133350</xdr:rowOff>
    </xdr:to>
    <xdr:sp macro="" textlink="">
      <xdr:nvSpPr>
        <xdr:cNvPr id="166" name="Text Box 21"/>
        <xdr:cNvSpPr txBox="1">
          <a:spLocks noChangeArrowheads="1"/>
        </xdr:cNvSpPr>
      </xdr:nvSpPr>
      <xdr:spPr bwMode="auto">
        <a:xfrm>
          <a:off x="1971675" y="9305925"/>
          <a:ext cx="336232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45720" tIns="32004" rIns="45720" bIns="32004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Equipment Log Sheet</a:t>
          </a:r>
          <a:endParaRPr lang="en-US"/>
        </a:p>
      </xdr:txBody>
    </xdr:sp>
    <xdr:clientData/>
  </xdr:twoCellAnchor>
  <xdr:twoCellAnchor>
    <xdr:from>
      <xdr:col>3</xdr:col>
      <xdr:colOff>390525</xdr:colOff>
      <xdr:row>78</xdr:row>
      <xdr:rowOff>0</xdr:rowOff>
    </xdr:from>
    <xdr:to>
      <xdr:col>4</xdr:col>
      <xdr:colOff>142875</xdr:colOff>
      <xdr:row>79</xdr:row>
      <xdr:rowOff>19050</xdr:rowOff>
    </xdr:to>
    <xdr:sp macro="" textlink="">
      <xdr:nvSpPr>
        <xdr:cNvPr id="167" name="Text Box 25"/>
        <xdr:cNvSpPr txBox="1">
          <a:spLocks noChangeArrowheads="1"/>
        </xdr:cNvSpPr>
      </xdr:nvSpPr>
      <xdr:spPr bwMode="auto">
        <a:xfrm>
          <a:off x="390525" y="1243012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57150</xdr:colOff>
      <xdr:row>83</xdr:row>
      <xdr:rowOff>133350</xdr:rowOff>
    </xdr:from>
    <xdr:to>
      <xdr:col>4</xdr:col>
      <xdr:colOff>419100</xdr:colOff>
      <xdr:row>84</xdr:row>
      <xdr:rowOff>152400</xdr:rowOff>
    </xdr:to>
    <xdr:sp macro="" textlink="">
      <xdr:nvSpPr>
        <xdr:cNvPr id="168" name="Text Box 28"/>
        <xdr:cNvSpPr txBox="1">
          <a:spLocks noChangeArrowheads="1"/>
        </xdr:cNvSpPr>
      </xdr:nvSpPr>
      <xdr:spPr bwMode="auto">
        <a:xfrm>
          <a:off x="666750" y="13373100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381000</xdr:colOff>
      <xdr:row>83</xdr:row>
      <xdr:rowOff>123825</xdr:rowOff>
    </xdr:from>
    <xdr:to>
      <xdr:col>8</xdr:col>
      <xdr:colOff>133350</xdr:colOff>
      <xdr:row>84</xdr:row>
      <xdr:rowOff>142875</xdr:rowOff>
    </xdr:to>
    <xdr:sp macro="" textlink="">
      <xdr:nvSpPr>
        <xdr:cNvPr id="169" name="Text Box 28"/>
        <xdr:cNvSpPr txBox="1">
          <a:spLocks noChangeArrowheads="1"/>
        </xdr:cNvSpPr>
      </xdr:nvSpPr>
      <xdr:spPr bwMode="auto">
        <a:xfrm>
          <a:off x="2819400" y="1336357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266700</xdr:colOff>
      <xdr:row>80</xdr:row>
      <xdr:rowOff>28575</xdr:rowOff>
    </xdr:from>
    <xdr:to>
      <xdr:col>6</xdr:col>
      <xdr:colOff>581025</xdr:colOff>
      <xdr:row>81</xdr:row>
      <xdr:rowOff>47625</xdr:rowOff>
    </xdr:to>
    <xdr:sp macro="" textlink="">
      <xdr:nvSpPr>
        <xdr:cNvPr id="170" name="Text Box 26"/>
        <xdr:cNvSpPr txBox="1">
          <a:spLocks noChangeArrowheads="1"/>
        </xdr:cNvSpPr>
      </xdr:nvSpPr>
      <xdr:spPr bwMode="auto">
        <a:xfrm>
          <a:off x="2095500" y="12782550"/>
          <a:ext cx="3143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561975</xdr:colOff>
      <xdr:row>69</xdr:row>
      <xdr:rowOff>66676</xdr:rowOff>
    </xdr:from>
    <xdr:to>
      <xdr:col>6</xdr:col>
      <xdr:colOff>200024</xdr:colOff>
      <xdr:row>77</xdr:row>
      <xdr:rowOff>28576</xdr:rowOff>
    </xdr:to>
    <xdr:sp macro="" textlink="">
      <xdr:nvSpPr>
        <xdr:cNvPr id="171" name="AutoShape 7"/>
        <xdr:cNvSpPr>
          <a:spLocks noChangeArrowheads="1"/>
        </xdr:cNvSpPr>
      </xdr:nvSpPr>
      <xdr:spPr bwMode="auto">
        <a:xfrm>
          <a:off x="561975" y="11039476"/>
          <a:ext cx="1466849" cy="12573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Is equipment due for Calibration?</a:t>
          </a:r>
          <a:endParaRPr lang="en-US"/>
        </a:p>
      </xdr:txBody>
    </xdr:sp>
    <xdr:clientData/>
  </xdr:twoCellAnchor>
  <xdr:twoCellAnchor>
    <xdr:from>
      <xdr:col>4</xdr:col>
      <xdr:colOff>314325</xdr:colOff>
      <xdr:row>77</xdr:row>
      <xdr:rowOff>95250</xdr:rowOff>
    </xdr:from>
    <xdr:to>
      <xdr:col>5</xdr:col>
      <xdr:colOff>0</xdr:colOff>
      <xdr:row>78</xdr:row>
      <xdr:rowOff>104775</xdr:rowOff>
    </xdr:to>
    <xdr:sp macro="" textlink="">
      <xdr:nvSpPr>
        <xdr:cNvPr id="172" name="Text Box 26"/>
        <xdr:cNvSpPr txBox="1">
          <a:spLocks noChangeArrowheads="1"/>
        </xdr:cNvSpPr>
      </xdr:nvSpPr>
      <xdr:spPr bwMode="auto">
        <a:xfrm>
          <a:off x="923925" y="12363450"/>
          <a:ext cx="295275" cy="1714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/>
        </a:p>
      </xdr:txBody>
    </xdr:sp>
    <xdr:clientData/>
  </xdr:twoCellAnchor>
  <xdr:twoCellAnchor>
    <xdr:from>
      <xdr:col>5</xdr:col>
      <xdr:colOff>76200</xdr:colOff>
      <xdr:row>77</xdr:row>
      <xdr:rowOff>28575</xdr:rowOff>
    </xdr:from>
    <xdr:to>
      <xdr:col>5</xdr:col>
      <xdr:colOff>95250</xdr:colOff>
      <xdr:row>80</xdr:row>
      <xdr:rowOff>9525</xdr:rowOff>
    </xdr:to>
    <xdr:cxnSp macro="">
      <xdr:nvCxnSpPr>
        <xdr:cNvPr id="173" name="AutoShape 10"/>
        <xdr:cNvCxnSpPr>
          <a:cxnSpLocks noChangeShapeType="1"/>
          <a:stCxn id="171" idx="2"/>
        </xdr:cNvCxnSpPr>
      </xdr:nvCxnSpPr>
      <xdr:spPr bwMode="auto">
        <a:xfrm>
          <a:off x="1295400" y="12296775"/>
          <a:ext cx="19050" cy="466725"/>
        </a:xfrm>
        <a:prstGeom prst="straightConnector1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66675</xdr:colOff>
      <xdr:row>79</xdr:row>
      <xdr:rowOff>152400</xdr:rowOff>
    </xdr:from>
    <xdr:to>
      <xdr:col>6</xdr:col>
      <xdr:colOff>133350</xdr:colOff>
      <xdr:row>83</xdr:row>
      <xdr:rowOff>104775</xdr:rowOff>
    </xdr:to>
    <xdr:sp macro="" textlink="">
      <xdr:nvSpPr>
        <xdr:cNvPr id="174" name="AutoShape 2"/>
        <xdr:cNvSpPr>
          <a:spLocks noChangeArrowheads="1"/>
        </xdr:cNvSpPr>
      </xdr:nvSpPr>
      <xdr:spPr bwMode="auto">
        <a:xfrm>
          <a:off x="676275" y="12744450"/>
          <a:ext cx="1285875" cy="600075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Equipment box will turns red</a:t>
          </a:r>
          <a:endParaRPr lang="en-US"/>
        </a:p>
      </xdr:txBody>
    </xdr:sp>
    <xdr:clientData/>
  </xdr:twoCellAnchor>
  <xdr:twoCellAnchor>
    <xdr:from>
      <xdr:col>6</xdr:col>
      <xdr:colOff>419100</xdr:colOff>
      <xdr:row>71</xdr:row>
      <xdr:rowOff>142875</xdr:rowOff>
    </xdr:from>
    <xdr:to>
      <xdr:col>7</xdr:col>
      <xdr:colOff>171450</xdr:colOff>
      <xdr:row>73</xdr:row>
      <xdr:rowOff>0</xdr:rowOff>
    </xdr:to>
    <xdr:sp macro="" textlink="">
      <xdr:nvSpPr>
        <xdr:cNvPr id="175" name="Text Box 28"/>
        <xdr:cNvSpPr txBox="1">
          <a:spLocks noChangeArrowheads="1"/>
        </xdr:cNvSpPr>
      </xdr:nvSpPr>
      <xdr:spPr bwMode="auto">
        <a:xfrm>
          <a:off x="2247900" y="11439525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/>
        </a:p>
      </xdr:txBody>
    </xdr:sp>
    <xdr:clientData/>
  </xdr:twoCellAnchor>
  <xdr:twoCellAnchor>
    <xdr:from>
      <xdr:col>7</xdr:col>
      <xdr:colOff>200025</xdr:colOff>
      <xdr:row>69</xdr:row>
      <xdr:rowOff>57150</xdr:rowOff>
    </xdr:from>
    <xdr:to>
      <xdr:col>9</xdr:col>
      <xdr:colOff>447674</xdr:colOff>
      <xdr:row>77</xdr:row>
      <xdr:rowOff>19050</xdr:rowOff>
    </xdr:to>
    <xdr:sp macro="" textlink="">
      <xdr:nvSpPr>
        <xdr:cNvPr id="176" name="AutoShape 7"/>
        <xdr:cNvSpPr>
          <a:spLocks noChangeArrowheads="1"/>
        </xdr:cNvSpPr>
      </xdr:nvSpPr>
      <xdr:spPr bwMode="auto">
        <a:xfrm>
          <a:off x="2638425" y="11029950"/>
          <a:ext cx="1466849" cy="12573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99CC" mc:Ignorable="a14" a14:legacySpreadsheetColorIndex="4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Is equipment with in 3months of cal</a:t>
          </a:r>
          <a:endParaRPr lang="en-US"/>
        </a:p>
      </xdr:txBody>
    </xdr:sp>
    <xdr:clientData/>
  </xdr:twoCellAnchor>
  <xdr:twoCellAnchor>
    <xdr:from>
      <xdr:col>7</xdr:col>
      <xdr:colOff>285750</xdr:colOff>
      <xdr:row>79</xdr:row>
      <xdr:rowOff>114300</xdr:rowOff>
    </xdr:from>
    <xdr:to>
      <xdr:col>9</xdr:col>
      <xdr:colOff>352425</xdr:colOff>
      <xdr:row>83</xdr:row>
      <xdr:rowOff>66675</xdr:rowOff>
    </xdr:to>
    <xdr:sp macro="" textlink="">
      <xdr:nvSpPr>
        <xdr:cNvPr id="177" name="AutoShape 2"/>
        <xdr:cNvSpPr>
          <a:spLocks noChangeArrowheads="1"/>
        </xdr:cNvSpPr>
      </xdr:nvSpPr>
      <xdr:spPr bwMode="auto">
        <a:xfrm>
          <a:off x="2724150" y="12706350"/>
          <a:ext cx="1285875" cy="600075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Equipment box will turn yellow</a:t>
          </a:r>
          <a:endParaRPr lang="en-US"/>
        </a:p>
      </xdr:txBody>
    </xdr:sp>
    <xdr:clientData/>
  </xdr:twoCellAnchor>
  <xdr:twoCellAnchor>
    <xdr:from>
      <xdr:col>6</xdr:col>
      <xdr:colOff>200024</xdr:colOff>
      <xdr:row>73</xdr:row>
      <xdr:rowOff>38100</xdr:rowOff>
    </xdr:from>
    <xdr:to>
      <xdr:col>7</xdr:col>
      <xdr:colOff>200025</xdr:colOff>
      <xdr:row>73</xdr:row>
      <xdr:rowOff>47626</xdr:rowOff>
    </xdr:to>
    <xdr:cxnSp macro="">
      <xdr:nvCxnSpPr>
        <xdr:cNvPr id="178" name="Straight Arrow Connector 177"/>
        <xdr:cNvCxnSpPr>
          <a:stCxn id="171" idx="3"/>
          <a:endCxn id="176" idx="1"/>
        </xdr:cNvCxnSpPr>
      </xdr:nvCxnSpPr>
      <xdr:spPr>
        <a:xfrm flipV="1">
          <a:off x="2028824" y="11658600"/>
          <a:ext cx="609601" cy="9526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319088</xdr:colOff>
      <xdr:row>77</xdr:row>
      <xdr:rowOff>19050</xdr:rowOff>
    </xdr:from>
    <xdr:to>
      <xdr:col>8</xdr:col>
      <xdr:colOff>323850</xdr:colOff>
      <xdr:row>79</xdr:row>
      <xdr:rowOff>114300</xdr:rowOff>
    </xdr:to>
    <xdr:cxnSp macro="">
      <xdr:nvCxnSpPr>
        <xdr:cNvPr id="179" name="Straight Arrow Connector 178"/>
        <xdr:cNvCxnSpPr>
          <a:stCxn id="176" idx="2"/>
          <a:endCxn id="177" idx="0"/>
        </xdr:cNvCxnSpPr>
      </xdr:nvCxnSpPr>
      <xdr:spPr>
        <a:xfrm flipH="1">
          <a:off x="3367088" y="12287250"/>
          <a:ext cx="4762" cy="41910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600075</xdr:colOff>
      <xdr:row>71</xdr:row>
      <xdr:rowOff>57150</xdr:rowOff>
    </xdr:from>
    <xdr:to>
      <xdr:col>13</xdr:col>
      <xdr:colOff>57150</xdr:colOff>
      <xdr:row>75</xdr:row>
      <xdr:rowOff>9525</xdr:rowOff>
    </xdr:to>
    <xdr:sp macro="" textlink="">
      <xdr:nvSpPr>
        <xdr:cNvPr id="180" name="AutoShape 2"/>
        <xdr:cNvSpPr>
          <a:spLocks noChangeArrowheads="1"/>
        </xdr:cNvSpPr>
      </xdr:nvSpPr>
      <xdr:spPr bwMode="auto">
        <a:xfrm>
          <a:off x="4867275" y="11353800"/>
          <a:ext cx="1285875" cy="600075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Equipment box will remains white</a:t>
          </a:r>
          <a:endParaRPr lang="en-US"/>
        </a:p>
      </xdr:txBody>
    </xdr:sp>
    <xdr:clientData/>
  </xdr:twoCellAnchor>
  <xdr:twoCellAnchor>
    <xdr:from>
      <xdr:col>9</xdr:col>
      <xdr:colOff>447674</xdr:colOff>
      <xdr:row>73</xdr:row>
      <xdr:rowOff>33338</xdr:rowOff>
    </xdr:from>
    <xdr:to>
      <xdr:col>10</xdr:col>
      <xdr:colOff>600075</xdr:colOff>
      <xdr:row>73</xdr:row>
      <xdr:rowOff>38100</xdr:rowOff>
    </xdr:to>
    <xdr:cxnSp macro="">
      <xdr:nvCxnSpPr>
        <xdr:cNvPr id="181" name="Straight Arrow Connector 180"/>
        <xdr:cNvCxnSpPr>
          <a:stCxn id="176" idx="3"/>
          <a:endCxn id="180" idx="1"/>
        </xdr:cNvCxnSpPr>
      </xdr:nvCxnSpPr>
      <xdr:spPr>
        <a:xfrm flipV="1">
          <a:off x="4105274" y="11653838"/>
          <a:ext cx="762001" cy="4762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77</xdr:row>
      <xdr:rowOff>142875</xdr:rowOff>
    </xdr:from>
    <xdr:to>
      <xdr:col>8</xdr:col>
      <xdr:colOff>257175</xdr:colOff>
      <xdr:row>78</xdr:row>
      <xdr:rowOff>152400</xdr:rowOff>
    </xdr:to>
    <xdr:sp macro="" textlink="">
      <xdr:nvSpPr>
        <xdr:cNvPr id="182" name="Text Box 26"/>
        <xdr:cNvSpPr txBox="1">
          <a:spLocks noChangeArrowheads="1"/>
        </xdr:cNvSpPr>
      </xdr:nvSpPr>
      <xdr:spPr bwMode="auto">
        <a:xfrm>
          <a:off x="3009900" y="12411075"/>
          <a:ext cx="295275" cy="1714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/>
        </a:p>
      </xdr:txBody>
    </xdr:sp>
    <xdr:clientData/>
  </xdr:twoCellAnchor>
  <xdr:twoCellAnchor>
    <xdr:from>
      <xdr:col>10</xdr:col>
      <xdr:colOff>95250</xdr:colOff>
      <xdr:row>71</xdr:row>
      <xdr:rowOff>152400</xdr:rowOff>
    </xdr:from>
    <xdr:to>
      <xdr:col>10</xdr:col>
      <xdr:colOff>457200</xdr:colOff>
      <xdr:row>73</xdr:row>
      <xdr:rowOff>9525</xdr:rowOff>
    </xdr:to>
    <xdr:sp macro="" textlink="">
      <xdr:nvSpPr>
        <xdr:cNvPr id="183" name="Text Box 28"/>
        <xdr:cNvSpPr txBox="1">
          <a:spLocks noChangeArrowheads="1"/>
        </xdr:cNvSpPr>
      </xdr:nvSpPr>
      <xdr:spPr bwMode="auto">
        <a:xfrm>
          <a:off x="4362450" y="11449050"/>
          <a:ext cx="361950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/>
        </a:p>
      </xdr:txBody>
    </xdr:sp>
    <xdr:clientData/>
  </xdr:twoCellAnchor>
  <xdr:twoCellAnchor>
    <xdr:from>
      <xdr:col>11</xdr:col>
      <xdr:colOff>409575</xdr:colOff>
      <xdr:row>36</xdr:row>
      <xdr:rowOff>104775</xdr:rowOff>
    </xdr:from>
    <xdr:to>
      <xdr:col>13</xdr:col>
      <xdr:colOff>314325</xdr:colOff>
      <xdr:row>39</xdr:row>
      <xdr:rowOff>95250</xdr:rowOff>
    </xdr:to>
    <xdr:sp macro="" textlink="">
      <xdr:nvSpPr>
        <xdr:cNvPr id="80" name="AutoShape 6"/>
        <xdr:cNvSpPr>
          <a:spLocks noChangeArrowheads="1"/>
        </xdr:cNvSpPr>
      </xdr:nvSpPr>
      <xdr:spPr bwMode="auto">
        <a:xfrm>
          <a:off x="7115175" y="6057900"/>
          <a:ext cx="1123950" cy="4762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CC00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t>send cal cert to qa for approval</a:t>
          </a:r>
          <a:endParaRPr lang="en-US"/>
        </a:p>
      </xdr:txBody>
    </xdr:sp>
    <xdr:clientData/>
  </xdr:twoCellAnchor>
  <xdr:twoCellAnchor>
    <xdr:from>
      <xdr:col>12</xdr:col>
      <xdr:colOff>314325</xdr:colOff>
      <xdr:row>39</xdr:row>
      <xdr:rowOff>76200</xdr:rowOff>
    </xdr:from>
    <xdr:to>
      <xdr:col>12</xdr:col>
      <xdr:colOff>333375</xdr:colOff>
      <xdr:row>41</xdr:row>
      <xdr:rowOff>66674</xdr:rowOff>
    </xdr:to>
    <xdr:cxnSp macro="">
      <xdr:nvCxnSpPr>
        <xdr:cNvPr id="95" name="AutoShape 15"/>
        <xdr:cNvCxnSpPr>
          <a:cxnSpLocks noChangeShapeType="1"/>
          <a:endCxn id="140" idx="0"/>
        </xdr:cNvCxnSpPr>
      </xdr:nvCxnSpPr>
      <xdr:spPr bwMode="auto">
        <a:xfrm>
          <a:off x="7629525" y="6515100"/>
          <a:ext cx="19050" cy="314324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ceable.com/media/wysiwyg/ServiceForm1.pdf" TargetMode="External"/><Relationship Id="rId2" Type="http://schemas.openxmlformats.org/officeDocument/2006/relationships/hyperlink" Target="https://traceable.com/" TargetMode="External"/><Relationship Id="rId1" Type="http://schemas.openxmlformats.org/officeDocument/2006/relationships/hyperlink" Target="mailto:terry@dialindicator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60"/>
  <sheetViews>
    <sheetView zoomScaleNormal="100" workbookViewId="0">
      <pane xSplit="31275" topLeftCell="AB1"/>
      <selection activeCell="E8" sqref="E8"/>
      <selection pane="topRight" activeCell="AB1" sqref="AB1"/>
    </sheetView>
  </sheetViews>
  <sheetFormatPr defaultRowHeight="12.75" x14ac:dyDescent="0.2"/>
  <cols>
    <col min="1" max="2" width="10.140625" bestFit="1" customWidth="1"/>
    <col min="3" max="3" width="31" bestFit="1" customWidth="1"/>
    <col min="4" max="4" width="15" customWidth="1"/>
    <col min="5" max="5" width="13.7109375" customWidth="1"/>
    <col min="6" max="6" width="15.140625" bestFit="1" customWidth="1"/>
    <col min="7" max="7" width="20.85546875" bestFit="1" customWidth="1"/>
    <col min="8" max="8" width="12.28515625" customWidth="1"/>
    <col min="9" max="9" width="22.5703125" customWidth="1"/>
  </cols>
  <sheetData>
    <row r="1" spans="1:9" x14ac:dyDescent="0.2">
      <c r="A1" s="12">
        <f ca="1">TODAY()</f>
        <v>42508</v>
      </c>
      <c r="B1" s="12"/>
    </row>
    <row r="2" spans="1:9" ht="18" x14ac:dyDescent="0.25">
      <c r="A2" s="12">
        <f ca="1">A1+365</f>
        <v>42873</v>
      </c>
      <c r="C2" s="134" t="s">
        <v>178</v>
      </c>
      <c r="D2" s="134"/>
      <c r="E2" s="134"/>
      <c r="F2" s="134"/>
      <c r="G2" s="135"/>
      <c r="H2" s="40"/>
      <c r="I2" s="41"/>
    </row>
    <row r="3" spans="1:9" ht="18" x14ac:dyDescent="0.25">
      <c r="C3" s="134"/>
      <c r="D3" s="134"/>
      <c r="E3" s="134"/>
      <c r="F3" s="134"/>
      <c r="G3" s="135"/>
      <c r="H3" s="42"/>
      <c r="I3" s="43"/>
    </row>
    <row r="4" spans="1:9" ht="18" x14ac:dyDescent="0.25">
      <c r="C4" s="130" t="s">
        <v>177</v>
      </c>
      <c r="D4" s="131"/>
      <c r="E4" s="131"/>
      <c r="F4" s="131"/>
      <c r="G4" s="131"/>
      <c r="H4" s="44"/>
      <c r="I4" s="45"/>
    </row>
    <row r="5" spans="1:9" ht="18" x14ac:dyDescent="0.25">
      <c r="C5" s="132"/>
      <c r="D5" s="133"/>
      <c r="E5" s="133"/>
      <c r="F5" s="133"/>
      <c r="G5" s="133"/>
      <c r="H5" s="46"/>
      <c r="I5" s="47"/>
    </row>
    <row r="6" spans="1:9" ht="14.25" x14ac:dyDescent="0.2">
      <c r="C6" s="52" t="s">
        <v>0</v>
      </c>
      <c r="D6" s="52" t="s">
        <v>3</v>
      </c>
      <c r="E6" s="52" t="s">
        <v>179</v>
      </c>
      <c r="F6" s="52" t="s">
        <v>175</v>
      </c>
      <c r="G6" s="53" t="s">
        <v>176</v>
      </c>
      <c r="H6" s="54" t="s">
        <v>181</v>
      </c>
      <c r="I6" s="54" t="s">
        <v>180</v>
      </c>
    </row>
    <row r="7" spans="1:9" ht="18" x14ac:dyDescent="0.25">
      <c r="C7" s="48" t="s">
        <v>182</v>
      </c>
      <c r="D7" s="48">
        <v>63818</v>
      </c>
      <c r="E7" s="48">
        <v>7</v>
      </c>
      <c r="F7" s="49">
        <v>40935</v>
      </c>
      <c r="G7" s="49">
        <f>F7+E7</f>
        <v>40942</v>
      </c>
      <c r="H7" s="50"/>
      <c r="I7" s="50" t="s">
        <v>183</v>
      </c>
    </row>
    <row r="8" spans="1:9" ht="18" x14ac:dyDescent="0.25">
      <c r="C8" s="51"/>
      <c r="D8" s="51"/>
      <c r="E8" s="51"/>
      <c r="F8" s="51"/>
      <c r="G8" s="51"/>
      <c r="H8" s="51"/>
      <c r="I8" s="51"/>
    </row>
    <row r="9" spans="1:9" ht="18" x14ac:dyDescent="0.25">
      <c r="C9" s="51"/>
      <c r="D9" s="51"/>
      <c r="E9" s="51"/>
      <c r="F9" s="51"/>
      <c r="G9" s="51"/>
      <c r="H9" s="51"/>
      <c r="I9" s="51"/>
    </row>
    <row r="10" spans="1:9" ht="18" x14ac:dyDescent="0.25">
      <c r="C10" s="51"/>
      <c r="D10" s="51"/>
      <c r="E10" s="51"/>
      <c r="F10" s="51"/>
      <c r="G10" s="51"/>
      <c r="H10" s="51"/>
      <c r="I10" s="51"/>
    </row>
    <row r="11" spans="1:9" ht="18" x14ac:dyDescent="0.25">
      <c r="C11" s="51"/>
      <c r="D11" s="51"/>
      <c r="E11" s="51"/>
      <c r="F11" s="51"/>
      <c r="G11" s="51"/>
      <c r="H11" s="51"/>
      <c r="I11" s="51"/>
    </row>
    <row r="12" spans="1:9" ht="18" x14ac:dyDescent="0.25">
      <c r="C12" s="51"/>
      <c r="D12" s="51"/>
      <c r="E12" s="51"/>
      <c r="F12" s="51"/>
      <c r="G12" s="51"/>
      <c r="H12" s="51"/>
      <c r="I12" s="51"/>
    </row>
    <row r="13" spans="1:9" ht="18" x14ac:dyDescent="0.25">
      <c r="C13" s="51"/>
      <c r="D13" s="51"/>
      <c r="E13" s="51"/>
      <c r="F13" s="51"/>
      <c r="G13" s="51"/>
      <c r="H13" s="51"/>
      <c r="I13" s="51"/>
    </row>
    <row r="14" spans="1:9" ht="18" x14ac:dyDescent="0.25">
      <c r="C14" s="51"/>
      <c r="D14" s="51"/>
      <c r="E14" s="51"/>
      <c r="F14" s="51"/>
      <c r="G14" s="51"/>
      <c r="H14" s="51"/>
      <c r="I14" s="51"/>
    </row>
    <row r="15" spans="1:9" ht="18" x14ac:dyDescent="0.25">
      <c r="C15" s="51"/>
      <c r="D15" s="51"/>
      <c r="E15" s="51"/>
      <c r="F15" s="51"/>
      <c r="G15" s="51"/>
      <c r="H15" s="51"/>
      <c r="I15" s="51"/>
    </row>
    <row r="16" spans="1:9" ht="18" x14ac:dyDescent="0.25">
      <c r="C16" s="51"/>
      <c r="D16" s="51"/>
      <c r="E16" s="51"/>
      <c r="F16" s="51"/>
      <c r="G16" s="51"/>
      <c r="H16" s="51"/>
      <c r="I16" s="51"/>
    </row>
    <row r="17" spans="3:9" ht="18" x14ac:dyDescent="0.25">
      <c r="C17" s="51"/>
      <c r="D17" s="51"/>
      <c r="E17" s="51"/>
      <c r="F17" s="51"/>
      <c r="G17" s="51"/>
      <c r="H17" s="51"/>
      <c r="I17" s="51"/>
    </row>
    <row r="18" spans="3:9" ht="18" x14ac:dyDescent="0.25">
      <c r="C18" s="51"/>
      <c r="D18" s="51"/>
      <c r="E18" s="51"/>
      <c r="F18" s="51"/>
      <c r="G18" s="51"/>
      <c r="H18" s="51"/>
      <c r="I18" s="51"/>
    </row>
    <row r="19" spans="3:9" ht="18" x14ac:dyDescent="0.25">
      <c r="C19" s="51"/>
      <c r="D19" s="51"/>
      <c r="E19" s="51"/>
      <c r="F19" s="51"/>
      <c r="G19" s="51"/>
      <c r="H19" s="51"/>
      <c r="I19" s="51"/>
    </row>
    <row r="20" spans="3:9" ht="18" x14ac:dyDescent="0.25">
      <c r="C20" s="51"/>
      <c r="D20" s="51"/>
      <c r="E20" s="51"/>
      <c r="F20" s="51"/>
      <c r="G20" s="51"/>
      <c r="H20" s="51"/>
      <c r="I20" s="51"/>
    </row>
    <row r="21" spans="3:9" ht="18" x14ac:dyDescent="0.25">
      <c r="C21" s="51"/>
      <c r="D21" s="51"/>
      <c r="E21" s="51"/>
      <c r="F21" s="51"/>
      <c r="G21" s="51"/>
      <c r="H21" s="51"/>
      <c r="I21" s="51"/>
    </row>
    <row r="22" spans="3:9" ht="18" x14ac:dyDescent="0.25">
      <c r="C22" s="51"/>
      <c r="D22" s="51"/>
      <c r="E22" s="51"/>
      <c r="F22" s="51"/>
      <c r="G22" s="51"/>
      <c r="H22" s="51"/>
      <c r="I22" s="51"/>
    </row>
    <row r="23" spans="3:9" ht="18" x14ac:dyDescent="0.25">
      <c r="C23" s="51"/>
      <c r="D23" s="51"/>
      <c r="E23" s="51"/>
      <c r="F23" s="51"/>
      <c r="G23" s="51"/>
      <c r="H23" s="51"/>
      <c r="I23" s="51"/>
    </row>
    <row r="24" spans="3:9" ht="18" x14ac:dyDescent="0.25">
      <c r="C24" s="51"/>
      <c r="D24" s="51"/>
      <c r="E24" s="51"/>
      <c r="F24" s="51"/>
      <c r="G24" s="51"/>
      <c r="H24" s="51"/>
      <c r="I24" s="51"/>
    </row>
    <row r="25" spans="3:9" ht="18" x14ac:dyDescent="0.25">
      <c r="C25" s="51"/>
      <c r="D25" s="51"/>
      <c r="E25" s="51"/>
      <c r="F25" s="51"/>
      <c r="G25" s="51"/>
      <c r="H25" s="51"/>
      <c r="I25" s="51"/>
    </row>
    <row r="26" spans="3:9" ht="18" x14ac:dyDescent="0.25">
      <c r="C26" s="51"/>
      <c r="D26" s="51"/>
      <c r="E26" s="51"/>
      <c r="F26" s="51"/>
      <c r="G26" s="51"/>
      <c r="H26" s="51"/>
      <c r="I26" s="51"/>
    </row>
    <row r="27" spans="3:9" ht="18" x14ac:dyDescent="0.25">
      <c r="C27" s="51"/>
      <c r="D27" s="51"/>
      <c r="E27" s="51"/>
      <c r="F27" s="51"/>
      <c r="G27" s="51"/>
      <c r="H27" s="51"/>
      <c r="I27" s="51"/>
    </row>
    <row r="28" spans="3:9" ht="18" x14ac:dyDescent="0.25">
      <c r="C28" s="51"/>
      <c r="D28" s="51"/>
      <c r="E28" s="51"/>
      <c r="F28" s="51"/>
      <c r="G28" s="51"/>
      <c r="H28" s="51"/>
      <c r="I28" s="51"/>
    </row>
    <row r="29" spans="3:9" ht="18" x14ac:dyDescent="0.25">
      <c r="C29" s="51"/>
      <c r="D29" s="51"/>
      <c r="E29" s="51"/>
      <c r="F29" s="51"/>
      <c r="G29" s="51"/>
      <c r="H29" s="51"/>
      <c r="I29" s="51"/>
    </row>
    <row r="30" spans="3:9" ht="18" x14ac:dyDescent="0.25">
      <c r="C30" s="51"/>
      <c r="D30" s="51"/>
      <c r="E30" s="51"/>
      <c r="F30" s="51"/>
      <c r="G30" s="51"/>
      <c r="H30" s="51"/>
      <c r="I30" s="51"/>
    </row>
    <row r="31" spans="3:9" ht="18" x14ac:dyDescent="0.25">
      <c r="C31" s="51"/>
      <c r="D31" s="51"/>
      <c r="E31" s="51"/>
      <c r="F31" s="51"/>
      <c r="G31" s="51"/>
      <c r="H31" s="51"/>
      <c r="I31" s="51"/>
    </row>
    <row r="32" spans="3:9" ht="18" x14ac:dyDescent="0.25">
      <c r="C32" s="51"/>
      <c r="D32" s="51"/>
      <c r="E32" s="51"/>
      <c r="F32" s="51"/>
      <c r="G32" s="51"/>
      <c r="H32" s="51"/>
      <c r="I32" s="51"/>
    </row>
    <row r="33" spans="3:9" ht="18" x14ac:dyDescent="0.25">
      <c r="C33" s="51"/>
      <c r="D33" s="51"/>
      <c r="E33" s="51"/>
      <c r="F33" s="51"/>
      <c r="G33" s="51"/>
      <c r="H33" s="51"/>
      <c r="I33" s="51"/>
    </row>
    <row r="34" spans="3:9" ht="18" x14ac:dyDescent="0.25">
      <c r="C34" s="51"/>
      <c r="D34" s="51"/>
      <c r="E34" s="51"/>
      <c r="F34" s="51"/>
      <c r="G34" s="51"/>
      <c r="H34" s="51"/>
      <c r="I34" s="51"/>
    </row>
    <row r="35" spans="3:9" ht="18" x14ac:dyDescent="0.25">
      <c r="C35" s="51"/>
      <c r="D35" s="51"/>
      <c r="E35" s="51"/>
      <c r="F35" s="51"/>
      <c r="G35" s="51"/>
      <c r="H35" s="51"/>
      <c r="I35" s="51"/>
    </row>
    <row r="36" spans="3:9" ht="18" x14ac:dyDescent="0.25">
      <c r="C36" s="51"/>
      <c r="D36" s="51"/>
      <c r="E36" s="51"/>
      <c r="F36" s="51"/>
      <c r="G36" s="51"/>
      <c r="H36" s="51"/>
      <c r="I36" s="51"/>
    </row>
    <row r="37" spans="3:9" ht="18" x14ac:dyDescent="0.25">
      <c r="C37" s="51"/>
      <c r="D37" s="51"/>
      <c r="E37" s="51"/>
      <c r="F37" s="51"/>
      <c r="G37" s="51"/>
      <c r="H37" s="51"/>
      <c r="I37" s="51"/>
    </row>
    <row r="38" spans="3:9" ht="18" x14ac:dyDescent="0.25">
      <c r="C38" s="51"/>
      <c r="D38" s="51"/>
      <c r="E38" s="51"/>
      <c r="F38" s="51"/>
      <c r="G38" s="51"/>
      <c r="H38" s="51"/>
      <c r="I38" s="51"/>
    </row>
    <row r="39" spans="3:9" ht="18" x14ac:dyDescent="0.25">
      <c r="C39" s="51"/>
      <c r="D39" s="51"/>
      <c r="E39" s="51"/>
      <c r="F39" s="51"/>
      <c r="G39" s="51"/>
      <c r="H39" s="51"/>
      <c r="I39" s="51"/>
    </row>
    <row r="40" spans="3:9" ht="18" x14ac:dyDescent="0.25">
      <c r="C40" s="51"/>
      <c r="D40" s="51"/>
      <c r="E40" s="51"/>
      <c r="F40" s="51"/>
      <c r="G40" s="51"/>
      <c r="H40" s="51"/>
      <c r="I40" s="51"/>
    </row>
    <row r="41" spans="3:9" ht="18" x14ac:dyDescent="0.25">
      <c r="C41" s="51"/>
      <c r="D41" s="51"/>
      <c r="E41" s="51"/>
      <c r="F41" s="51"/>
      <c r="G41" s="51"/>
      <c r="H41" s="51"/>
      <c r="I41" s="51"/>
    </row>
    <row r="42" spans="3:9" ht="18" x14ac:dyDescent="0.25">
      <c r="C42" s="51"/>
      <c r="D42" s="51"/>
      <c r="E42" s="51"/>
      <c r="F42" s="51"/>
      <c r="G42" s="51"/>
      <c r="H42" s="51"/>
      <c r="I42" s="51"/>
    </row>
    <row r="43" spans="3:9" ht="18" x14ac:dyDescent="0.25">
      <c r="C43" s="51"/>
      <c r="D43" s="51"/>
      <c r="E43" s="51"/>
      <c r="F43" s="51"/>
      <c r="G43" s="51"/>
      <c r="H43" s="51"/>
      <c r="I43" s="51"/>
    </row>
    <row r="44" spans="3:9" ht="18" x14ac:dyDescent="0.25">
      <c r="C44" s="51"/>
      <c r="D44" s="51"/>
      <c r="E44" s="51"/>
      <c r="F44" s="51"/>
      <c r="G44" s="51"/>
      <c r="H44" s="51"/>
      <c r="I44" s="51"/>
    </row>
    <row r="45" spans="3:9" ht="18" x14ac:dyDescent="0.25">
      <c r="C45" s="51"/>
      <c r="D45" s="51"/>
      <c r="E45" s="51"/>
      <c r="F45" s="51"/>
      <c r="G45" s="51"/>
      <c r="H45" s="51"/>
      <c r="I45" s="51"/>
    </row>
    <row r="46" spans="3:9" ht="18" x14ac:dyDescent="0.25">
      <c r="C46" s="51"/>
      <c r="D46" s="51"/>
      <c r="E46" s="51"/>
      <c r="F46" s="51"/>
      <c r="G46" s="51"/>
      <c r="H46" s="51"/>
      <c r="I46" s="51"/>
    </row>
    <row r="47" spans="3:9" ht="18" x14ac:dyDescent="0.25">
      <c r="C47" s="51"/>
      <c r="D47" s="51"/>
      <c r="E47" s="51"/>
      <c r="F47" s="51"/>
      <c r="G47" s="51"/>
      <c r="H47" s="51"/>
      <c r="I47" s="51"/>
    </row>
    <row r="48" spans="3:9" ht="18" x14ac:dyDescent="0.25">
      <c r="C48" s="51"/>
      <c r="D48" s="51"/>
      <c r="E48" s="51"/>
      <c r="F48" s="51"/>
      <c r="G48" s="51"/>
      <c r="H48" s="51"/>
      <c r="I48" s="51"/>
    </row>
    <row r="49" spans="3:9" ht="18" x14ac:dyDescent="0.25">
      <c r="C49" s="51"/>
      <c r="D49" s="51"/>
      <c r="E49" s="51"/>
      <c r="F49" s="51"/>
      <c r="G49" s="51"/>
      <c r="H49" s="51"/>
      <c r="I49" s="51"/>
    </row>
    <row r="50" spans="3:9" ht="18" x14ac:dyDescent="0.25">
      <c r="C50" s="51"/>
      <c r="D50" s="51"/>
      <c r="E50" s="51"/>
      <c r="F50" s="51"/>
      <c r="G50" s="51"/>
      <c r="H50" s="51"/>
      <c r="I50" s="51"/>
    </row>
    <row r="51" spans="3:9" ht="18" x14ac:dyDescent="0.25">
      <c r="C51" s="51"/>
      <c r="D51" s="51"/>
      <c r="E51" s="51"/>
      <c r="F51" s="51"/>
      <c r="G51" s="51"/>
      <c r="H51" s="51"/>
      <c r="I51" s="51"/>
    </row>
    <row r="52" spans="3:9" ht="18" x14ac:dyDescent="0.25">
      <c r="C52" s="51"/>
      <c r="D52" s="51"/>
      <c r="E52" s="51"/>
      <c r="F52" s="51"/>
      <c r="G52" s="51"/>
      <c r="H52" s="51"/>
      <c r="I52" s="51"/>
    </row>
    <row r="53" spans="3:9" ht="18" x14ac:dyDescent="0.25">
      <c r="C53" s="51"/>
      <c r="D53" s="51"/>
      <c r="E53" s="51"/>
      <c r="F53" s="51"/>
      <c r="G53" s="51"/>
      <c r="H53" s="51"/>
      <c r="I53" s="51"/>
    </row>
    <row r="54" spans="3:9" ht="18" x14ac:dyDescent="0.25">
      <c r="C54" s="51"/>
      <c r="D54" s="51"/>
      <c r="E54" s="51"/>
      <c r="F54" s="51"/>
      <c r="G54" s="51"/>
      <c r="H54" s="51"/>
      <c r="I54" s="51"/>
    </row>
    <row r="55" spans="3:9" ht="18" x14ac:dyDescent="0.25">
      <c r="C55" s="51"/>
      <c r="D55" s="51"/>
      <c r="E55" s="51"/>
      <c r="F55" s="51"/>
      <c r="G55" s="51"/>
      <c r="H55" s="51"/>
      <c r="I55" s="51"/>
    </row>
    <row r="56" spans="3:9" ht="18" x14ac:dyDescent="0.25">
      <c r="C56" s="51"/>
      <c r="D56" s="51"/>
      <c r="E56" s="51"/>
      <c r="F56" s="51"/>
      <c r="G56" s="51"/>
      <c r="H56" s="51"/>
      <c r="I56" s="51"/>
    </row>
    <row r="57" spans="3:9" ht="18" x14ac:dyDescent="0.25">
      <c r="C57" s="51"/>
      <c r="D57" s="51"/>
      <c r="E57" s="51"/>
      <c r="F57" s="51"/>
      <c r="G57" s="51"/>
      <c r="H57" s="51"/>
      <c r="I57" s="51"/>
    </row>
    <row r="58" spans="3:9" ht="18" x14ac:dyDescent="0.25">
      <c r="C58" s="51"/>
      <c r="D58" s="51"/>
      <c r="E58" s="51"/>
      <c r="F58" s="51"/>
      <c r="G58" s="51"/>
      <c r="H58" s="51"/>
      <c r="I58" s="51"/>
    </row>
    <row r="59" spans="3:9" ht="18" x14ac:dyDescent="0.25">
      <c r="C59" s="51"/>
      <c r="D59" s="51"/>
      <c r="E59" s="51"/>
      <c r="F59" s="51"/>
      <c r="G59" s="51"/>
      <c r="H59" s="51"/>
      <c r="I59" s="51"/>
    </row>
    <row r="60" spans="3:9" ht="18" x14ac:dyDescent="0.25">
      <c r="C60" s="51"/>
      <c r="D60" s="51"/>
      <c r="E60" s="51"/>
      <c r="F60" s="51"/>
      <c r="G60" s="51"/>
      <c r="H60" s="51"/>
      <c r="I60" s="51"/>
    </row>
  </sheetData>
  <sortState ref="C4:I10">
    <sortCondition sortBy="icon" ref="C10"/>
  </sortState>
  <mergeCells count="2">
    <mergeCell ref="C4:G5"/>
    <mergeCell ref="C2:G3"/>
  </mergeCells>
  <phoneticPr fontId="3" type="noConversion"/>
  <printOptions horizontalCentered="1" verticalCentered="1"/>
  <pageMargins left="1" right="1" top="1" bottom="1" header="0.5" footer="0.5"/>
  <pageSetup scale="7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2:H50"/>
  <sheetViews>
    <sheetView workbookViewId="0">
      <selection activeCell="B26" sqref="B26"/>
    </sheetView>
  </sheetViews>
  <sheetFormatPr defaultRowHeight="12.75" x14ac:dyDescent="0.2"/>
  <cols>
    <col min="5" max="5" width="22.85546875" customWidth="1"/>
    <col min="6" max="6" width="13" customWidth="1"/>
    <col min="7" max="7" width="14.7109375" customWidth="1"/>
    <col min="8" max="8" width="24" customWidth="1"/>
  </cols>
  <sheetData>
    <row r="2" spans="5:8" ht="12.75" customHeight="1" x14ac:dyDescent="0.2">
      <c r="E2" s="136" t="s">
        <v>223</v>
      </c>
      <c r="F2" s="136"/>
      <c r="G2" s="136"/>
      <c r="H2" s="136"/>
    </row>
    <row r="3" spans="5:8" ht="12.75" customHeight="1" x14ac:dyDescent="0.2">
      <c r="E3" s="136"/>
      <c r="F3" s="136"/>
      <c r="G3" s="136"/>
      <c r="H3" s="136"/>
    </row>
    <row r="4" spans="5:8" x14ac:dyDescent="0.2">
      <c r="E4" s="2" t="s">
        <v>0</v>
      </c>
      <c r="F4" s="2" t="s">
        <v>3</v>
      </c>
      <c r="G4" s="2" t="s">
        <v>224</v>
      </c>
      <c r="H4" s="10" t="s">
        <v>15</v>
      </c>
    </row>
    <row r="5" spans="5:8" x14ac:dyDescent="0.2">
      <c r="E5" s="8" t="s">
        <v>121</v>
      </c>
      <c r="F5" s="8" t="s">
        <v>188</v>
      </c>
      <c r="G5" s="9"/>
      <c r="H5" s="19" t="s">
        <v>227</v>
      </c>
    </row>
    <row r="6" spans="5:8" x14ac:dyDescent="0.2">
      <c r="E6" s="2" t="s">
        <v>121</v>
      </c>
      <c r="F6" s="2" t="s">
        <v>189</v>
      </c>
      <c r="G6" s="3"/>
      <c r="H6" s="4" t="s">
        <v>227</v>
      </c>
    </row>
    <row r="7" spans="5:8" x14ac:dyDescent="0.2">
      <c r="E7" s="2" t="s">
        <v>228</v>
      </c>
      <c r="F7" s="2">
        <v>1347892</v>
      </c>
      <c r="G7" s="3" t="s">
        <v>229</v>
      </c>
      <c r="H7" s="19"/>
    </row>
    <row r="8" spans="5:8" x14ac:dyDescent="0.2">
      <c r="E8" s="2" t="s">
        <v>231</v>
      </c>
      <c r="F8" s="2" t="s">
        <v>232</v>
      </c>
      <c r="G8" s="3" t="s">
        <v>229</v>
      </c>
      <c r="H8" s="4"/>
    </row>
    <row r="9" spans="5:8" x14ac:dyDescent="0.2">
      <c r="E9" s="2" t="s">
        <v>231</v>
      </c>
      <c r="F9" s="2" t="s">
        <v>233</v>
      </c>
      <c r="G9" s="3" t="s">
        <v>229</v>
      </c>
      <c r="H9" s="4"/>
    </row>
    <row r="10" spans="5:8" x14ac:dyDescent="0.2">
      <c r="E10" s="2" t="s">
        <v>231</v>
      </c>
      <c r="F10" s="2" t="s">
        <v>234</v>
      </c>
      <c r="G10" s="3" t="s">
        <v>229</v>
      </c>
      <c r="H10" s="4"/>
    </row>
    <row r="11" spans="5:8" x14ac:dyDescent="0.2">
      <c r="E11" s="2" t="s">
        <v>231</v>
      </c>
      <c r="F11" s="2" t="s">
        <v>235</v>
      </c>
      <c r="G11" s="3" t="s">
        <v>229</v>
      </c>
      <c r="H11" s="4"/>
    </row>
    <row r="12" spans="5:8" x14ac:dyDescent="0.2">
      <c r="E12" s="2"/>
      <c r="F12" s="4"/>
      <c r="G12" s="7"/>
      <c r="H12" s="4"/>
    </row>
    <row r="13" spans="5:8" x14ac:dyDescent="0.2">
      <c r="E13" s="2"/>
      <c r="F13" s="4"/>
      <c r="G13" s="7"/>
      <c r="H13" s="4"/>
    </row>
    <row r="14" spans="5:8" x14ac:dyDescent="0.2">
      <c r="E14" s="2"/>
      <c r="F14" s="4"/>
      <c r="G14" s="7"/>
      <c r="H14" s="62"/>
    </row>
    <row r="15" spans="5:8" x14ac:dyDescent="0.2">
      <c r="E15" s="2"/>
      <c r="F15" s="4"/>
      <c r="G15" s="7"/>
      <c r="H15" s="4"/>
    </row>
    <row r="16" spans="5:8" x14ac:dyDescent="0.2">
      <c r="E16" s="2"/>
      <c r="F16" s="4"/>
      <c r="G16" s="7"/>
      <c r="H16" s="4"/>
    </row>
    <row r="17" spans="5:8" x14ac:dyDescent="0.2">
      <c r="E17" s="2"/>
      <c r="F17" s="6"/>
      <c r="G17" s="7"/>
      <c r="H17" s="4"/>
    </row>
    <row r="18" spans="5:8" x14ac:dyDescent="0.2">
      <c r="E18" s="4"/>
      <c r="F18" s="6"/>
      <c r="G18" s="7"/>
      <c r="H18" s="4"/>
    </row>
    <row r="19" spans="5:8" x14ac:dyDescent="0.2">
      <c r="E19" s="4"/>
      <c r="F19" s="4"/>
      <c r="G19" s="5"/>
      <c r="H19" s="4"/>
    </row>
    <row r="20" spans="5:8" x14ac:dyDescent="0.2">
      <c r="E20" s="4"/>
      <c r="F20" s="4"/>
      <c r="G20" s="5"/>
      <c r="H20" s="4"/>
    </row>
    <row r="21" spans="5:8" x14ac:dyDescent="0.2">
      <c r="E21" s="4"/>
      <c r="F21" s="4"/>
      <c r="G21" s="5"/>
      <c r="H21" s="4"/>
    </row>
    <row r="22" spans="5:8" x14ac:dyDescent="0.2">
      <c r="E22" s="4"/>
      <c r="F22" s="4"/>
      <c r="G22" s="5"/>
      <c r="H22" s="4"/>
    </row>
    <row r="23" spans="5:8" x14ac:dyDescent="0.2">
      <c r="E23" s="4"/>
      <c r="F23" s="4"/>
      <c r="G23" s="4"/>
      <c r="H23" s="4"/>
    </row>
    <row r="24" spans="5:8" x14ac:dyDescent="0.2">
      <c r="E24" s="4"/>
      <c r="F24" s="6"/>
      <c r="G24" s="17"/>
      <c r="H24" s="4"/>
    </row>
    <row r="25" spans="5:8" x14ac:dyDescent="0.2">
      <c r="E25" s="4"/>
      <c r="F25" s="4"/>
      <c r="G25" s="7"/>
      <c r="H25" s="4"/>
    </row>
    <row r="26" spans="5:8" x14ac:dyDescent="0.2">
      <c r="E26" s="1"/>
      <c r="F26" s="1"/>
      <c r="G26" s="1"/>
      <c r="H26" s="1"/>
    </row>
    <row r="27" spans="5:8" x14ac:dyDescent="0.2">
      <c r="E27" s="1"/>
      <c r="F27" s="1"/>
      <c r="G27" s="1"/>
      <c r="H27" s="1"/>
    </row>
    <row r="28" spans="5:8" x14ac:dyDescent="0.2">
      <c r="E28" s="1"/>
      <c r="F28" s="1"/>
      <c r="G28" s="1"/>
      <c r="H28" s="1"/>
    </row>
    <row r="29" spans="5:8" x14ac:dyDescent="0.2">
      <c r="E29" s="1"/>
      <c r="F29" s="1"/>
      <c r="G29" s="1"/>
      <c r="H29" s="1"/>
    </row>
    <row r="30" spans="5:8" x14ac:dyDescent="0.2">
      <c r="E30" s="1"/>
      <c r="F30" s="1"/>
      <c r="G30" s="1"/>
      <c r="H30" s="1"/>
    </row>
    <row r="31" spans="5:8" x14ac:dyDescent="0.2">
      <c r="E31" s="1"/>
      <c r="F31" s="1"/>
      <c r="G31" s="1"/>
      <c r="H31" s="1"/>
    </row>
    <row r="32" spans="5:8" x14ac:dyDescent="0.2">
      <c r="E32" s="1"/>
      <c r="F32" s="1"/>
      <c r="G32" s="1"/>
      <c r="H32" s="1"/>
    </row>
    <row r="33" spans="5:8" x14ac:dyDescent="0.2">
      <c r="E33" s="1"/>
      <c r="F33" s="1"/>
      <c r="G33" s="1"/>
      <c r="H33" s="1"/>
    </row>
    <row r="34" spans="5:8" x14ac:dyDescent="0.2">
      <c r="E34" s="1"/>
      <c r="F34" s="1"/>
      <c r="G34" s="1"/>
      <c r="H34" s="1"/>
    </row>
    <row r="35" spans="5:8" x14ac:dyDescent="0.2">
      <c r="E35" s="1"/>
      <c r="F35" s="1"/>
      <c r="G35" s="1"/>
      <c r="H35" s="1"/>
    </row>
    <row r="36" spans="5:8" x14ac:dyDescent="0.2">
      <c r="E36" s="1"/>
      <c r="F36" s="1"/>
      <c r="G36" s="1"/>
      <c r="H36" s="1"/>
    </row>
    <row r="37" spans="5:8" x14ac:dyDescent="0.2">
      <c r="E37" s="1"/>
      <c r="F37" s="1"/>
      <c r="G37" s="1"/>
      <c r="H37" s="1"/>
    </row>
    <row r="38" spans="5:8" x14ac:dyDescent="0.2">
      <c r="E38" s="1"/>
      <c r="F38" s="1"/>
      <c r="G38" s="1"/>
      <c r="H38" s="1"/>
    </row>
    <row r="39" spans="5:8" x14ac:dyDescent="0.2">
      <c r="E39" s="1"/>
      <c r="F39" s="1"/>
      <c r="G39" s="1"/>
      <c r="H39" s="1"/>
    </row>
    <row r="40" spans="5:8" x14ac:dyDescent="0.2">
      <c r="E40" s="1"/>
      <c r="F40" s="1"/>
      <c r="G40" s="1"/>
      <c r="H40" s="1"/>
    </row>
    <row r="41" spans="5:8" x14ac:dyDescent="0.2">
      <c r="E41" s="1"/>
      <c r="F41" s="1"/>
      <c r="G41" s="1"/>
      <c r="H41" s="1"/>
    </row>
    <row r="42" spans="5:8" x14ac:dyDescent="0.2">
      <c r="E42" s="1"/>
      <c r="F42" s="1"/>
      <c r="G42" s="1"/>
      <c r="H42" s="1"/>
    </row>
    <row r="43" spans="5:8" x14ac:dyDescent="0.2">
      <c r="E43" s="1"/>
      <c r="F43" s="1"/>
      <c r="G43" s="1"/>
      <c r="H43" s="1"/>
    </row>
    <row r="44" spans="5:8" x14ac:dyDescent="0.2">
      <c r="E44" s="1"/>
      <c r="F44" s="1"/>
      <c r="G44" s="1"/>
      <c r="H44" s="1"/>
    </row>
    <row r="45" spans="5:8" x14ac:dyDescent="0.2">
      <c r="E45" s="1"/>
      <c r="F45" s="1"/>
      <c r="G45" s="1"/>
      <c r="H45" s="1"/>
    </row>
    <row r="46" spans="5:8" x14ac:dyDescent="0.2">
      <c r="E46" s="1"/>
      <c r="F46" s="1"/>
      <c r="G46" s="1"/>
      <c r="H46" s="1"/>
    </row>
    <row r="47" spans="5:8" x14ac:dyDescent="0.2">
      <c r="E47" s="1"/>
      <c r="F47" s="1"/>
      <c r="G47" s="1"/>
      <c r="H47" s="1"/>
    </row>
    <row r="48" spans="5:8" x14ac:dyDescent="0.2">
      <c r="E48" s="1"/>
      <c r="F48" s="1"/>
      <c r="G48" s="1"/>
      <c r="H48" s="1"/>
    </row>
    <row r="49" spans="5:8" x14ac:dyDescent="0.2">
      <c r="E49" s="1"/>
      <c r="F49" s="1"/>
      <c r="G49" s="1"/>
      <c r="H49" s="1"/>
    </row>
    <row r="50" spans="5:8" x14ac:dyDescent="0.2">
      <c r="E50" s="1"/>
      <c r="F50" s="1"/>
      <c r="G50" s="1"/>
      <c r="H50" s="1"/>
    </row>
  </sheetData>
  <mergeCells count="1">
    <mergeCell ref="E2:H3"/>
  </mergeCells>
  <phoneticPr fontId="3" type="noConversion"/>
  <printOptions horizontalCentered="1" verticalCentered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9"/>
  <sheetViews>
    <sheetView workbookViewId="0">
      <selection activeCell="B42" sqref="B42"/>
    </sheetView>
  </sheetViews>
  <sheetFormatPr defaultRowHeight="12.75" x14ac:dyDescent="0.2"/>
  <cols>
    <col min="5" max="5" width="30.140625" customWidth="1"/>
    <col min="6" max="6" width="13" customWidth="1"/>
    <col min="7" max="7" width="14.7109375" customWidth="1"/>
    <col min="8" max="8" width="24" customWidth="1"/>
  </cols>
  <sheetData>
    <row r="1" spans="1:8" x14ac:dyDescent="0.2">
      <c r="A1" s="12">
        <f ca="1">TODAY()</f>
        <v>42508</v>
      </c>
    </row>
    <row r="2" spans="1:8" ht="12.75" customHeight="1" x14ac:dyDescent="0.2">
      <c r="E2" s="136" t="s">
        <v>82</v>
      </c>
      <c r="F2" s="136"/>
      <c r="G2" s="136"/>
      <c r="H2" s="136"/>
    </row>
    <row r="3" spans="1:8" ht="12.75" customHeight="1" x14ac:dyDescent="0.2">
      <c r="E3" s="136"/>
      <c r="F3" s="136"/>
      <c r="G3" s="136"/>
      <c r="H3" s="136"/>
    </row>
    <row r="4" spans="1:8" x14ac:dyDescent="0.2">
      <c r="E4" s="2" t="s">
        <v>0</v>
      </c>
      <c r="F4" s="2" t="s">
        <v>3</v>
      </c>
      <c r="G4" s="2" t="s">
        <v>2</v>
      </c>
      <c r="H4" s="10" t="s">
        <v>15</v>
      </c>
    </row>
    <row r="5" spans="1:8" x14ac:dyDescent="0.2">
      <c r="E5" s="8" t="s">
        <v>16</v>
      </c>
      <c r="F5" s="8">
        <v>34160</v>
      </c>
      <c r="G5" s="9">
        <v>38741</v>
      </c>
      <c r="H5" s="4" t="s">
        <v>79</v>
      </c>
    </row>
    <row r="6" spans="1:8" x14ac:dyDescent="0.2">
      <c r="E6" s="2" t="s">
        <v>17</v>
      </c>
      <c r="F6" s="2">
        <v>10636</v>
      </c>
      <c r="G6" s="3">
        <v>39839</v>
      </c>
      <c r="H6" s="4" t="s">
        <v>79</v>
      </c>
    </row>
    <row r="7" spans="1:8" x14ac:dyDescent="0.2">
      <c r="E7" s="2" t="s">
        <v>18</v>
      </c>
      <c r="F7" s="2" t="s">
        <v>21</v>
      </c>
      <c r="G7" s="3">
        <v>38735</v>
      </c>
      <c r="H7" s="4" t="s">
        <v>79</v>
      </c>
    </row>
    <row r="8" spans="1:8" x14ac:dyDescent="0.2">
      <c r="E8" s="2" t="s">
        <v>19</v>
      </c>
      <c r="F8" s="2" t="s">
        <v>20</v>
      </c>
      <c r="G8" s="3">
        <v>39839</v>
      </c>
      <c r="H8" s="4" t="s">
        <v>79</v>
      </c>
    </row>
    <row r="9" spans="1:8" x14ac:dyDescent="0.2">
      <c r="E9" s="2" t="s">
        <v>22</v>
      </c>
      <c r="F9" s="2">
        <v>63818</v>
      </c>
      <c r="G9" s="9">
        <v>38743</v>
      </c>
      <c r="H9" s="4" t="s">
        <v>79</v>
      </c>
    </row>
    <row r="10" spans="1:8" x14ac:dyDescent="0.2">
      <c r="E10" s="4" t="s">
        <v>23</v>
      </c>
      <c r="F10" s="4">
        <v>2756</v>
      </c>
      <c r="G10" s="9">
        <v>38958</v>
      </c>
      <c r="H10" s="4" t="s">
        <v>79</v>
      </c>
    </row>
    <row r="11" spans="1:8" x14ac:dyDescent="0.2">
      <c r="E11" s="4" t="s">
        <v>24</v>
      </c>
      <c r="F11" s="6" t="s">
        <v>25</v>
      </c>
      <c r="G11" s="5">
        <v>39163</v>
      </c>
      <c r="H11" s="4" t="s">
        <v>80</v>
      </c>
    </row>
    <row r="12" spans="1:8" x14ac:dyDescent="0.2">
      <c r="E12" s="60" t="s">
        <v>28</v>
      </c>
      <c r="F12" s="4" t="s">
        <v>26</v>
      </c>
      <c r="G12" s="5">
        <v>39118</v>
      </c>
      <c r="H12" s="4" t="s">
        <v>27</v>
      </c>
    </row>
    <row r="13" spans="1:8" x14ac:dyDescent="0.2">
      <c r="E13" s="2" t="s">
        <v>29</v>
      </c>
      <c r="F13" s="4">
        <v>53001097</v>
      </c>
      <c r="G13" s="5">
        <v>39239</v>
      </c>
      <c r="H13" s="4" t="s">
        <v>79</v>
      </c>
    </row>
    <row r="14" spans="1:8" x14ac:dyDescent="0.2">
      <c r="E14" s="2" t="s">
        <v>30</v>
      </c>
      <c r="F14" s="4" t="s">
        <v>31</v>
      </c>
      <c r="G14" s="5">
        <v>39285</v>
      </c>
      <c r="H14" s="4" t="s">
        <v>79</v>
      </c>
    </row>
    <row r="15" spans="1:8" x14ac:dyDescent="0.2">
      <c r="E15" s="2" t="s">
        <v>32</v>
      </c>
      <c r="F15" s="4" t="s">
        <v>33</v>
      </c>
      <c r="G15" s="9">
        <v>38880</v>
      </c>
      <c r="H15" s="4" t="s">
        <v>27</v>
      </c>
    </row>
    <row r="16" spans="1:8" x14ac:dyDescent="0.2">
      <c r="E16" s="2" t="s">
        <v>34</v>
      </c>
      <c r="F16" s="6" t="s">
        <v>35</v>
      </c>
      <c r="G16" s="9">
        <v>39178</v>
      </c>
      <c r="H16" s="4" t="s">
        <v>36</v>
      </c>
    </row>
    <row r="17" spans="5:8" x14ac:dyDescent="0.2">
      <c r="E17" s="4" t="s">
        <v>37</v>
      </c>
      <c r="F17" s="6" t="s">
        <v>38</v>
      </c>
      <c r="G17" s="9" t="s">
        <v>39</v>
      </c>
      <c r="H17" s="4" t="s">
        <v>79</v>
      </c>
    </row>
    <row r="18" spans="5:8" x14ac:dyDescent="0.2">
      <c r="E18" s="4" t="s">
        <v>48</v>
      </c>
      <c r="F18" s="4" t="s">
        <v>49</v>
      </c>
      <c r="G18" s="5">
        <v>38875</v>
      </c>
      <c r="H18" s="4" t="s">
        <v>79</v>
      </c>
    </row>
    <row r="19" spans="5:8" x14ac:dyDescent="0.2">
      <c r="E19" s="1" t="s">
        <v>29</v>
      </c>
      <c r="F19" s="4">
        <v>80401784</v>
      </c>
      <c r="G19" s="5">
        <v>39543</v>
      </c>
      <c r="H19" s="4" t="s">
        <v>81</v>
      </c>
    </row>
    <row r="20" spans="5:8" x14ac:dyDescent="0.2">
      <c r="E20" s="1"/>
      <c r="F20" s="1"/>
      <c r="G20" s="11"/>
      <c r="H20" s="1"/>
    </row>
    <row r="21" spans="5:8" x14ac:dyDescent="0.2">
      <c r="E21" s="1"/>
      <c r="F21" s="1"/>
      <c r="G21" s="11"/>
      <c r="H21" s="1"/>
    </row>
    <row r="22" spans="5:8" x14ac:dyDescent="0.2">
      <c r="E22" s="1"/>
      <c r="F22" s="1"/>
      <c r="G22" s="11"/>
      <c r="H22" s="1"/>
    </row>
    <row r="23" spans="5:8" x14ac:dyDescent="0.2">
      <c r="E23" s="1"/>
      <c r="F23" s="1"/>
      <c r="G23" s="11"/>
      <c r="H23" s="1"/>
    </row>
    <row r="24" spans="5:8" x14ac:dyDescent="0.2">
      <c r="E24" s="1"/>
      <c r="F24" s="1"/>
      <c r="G24" s="11"/>
      <c r="H24" s="1"/>
    </row>
    <row r="25" spans="5:8" x14ac:dyDescent="0.2">
      <c r="E25" s="1"/>
      <c r="F25" s="1"/>
      <c r="G25" s="11"/>
      <c r="H25" s="1"/>
    </row>
    <row r="26" spans="5:8" x14ac:dyDescent="0.2">
      <c r="E26" s="1"/>
      <c r="F26" s="1"/>
      <c r="G26" s="11"/>
      <c r="H26" s="1"/>
    </row>
    <row r="27" spans="5:8" x14ac:dyDescent="0.2">
      <c r="E27" s="1"/>
      <c r="F27" s="1"/>
      <c r="G27" s="11"/>
      <c r="H27" s="1"/>
    </row>
    <row r="28" spans="5:8" x14ac:dyDescent="0.2">
      <c r="E28" s="1"/>
      <c r="F28" s="1"/>
      <c r="G28" s="11"/>
      <c r="H28" s="1"/>
    </row>
    <row r="29" spans="5:8" x14ac:dyDescent="0.2">
      <c r="E29" s="1"/>
      <c r="F29" s="1"/>
      <c r="G29" s="11"/>
      <c r="H29" s="1"/>
    </row>
    <row r="30" spans="5:8" x14ac:dyDescent="0.2">
      <c r="E30" s="1"/>
      <c r="F30" s="1"/>
      <c r="G30" s="11"/>
      <c r="H30" s="1"/>
    </row>
    <row r="31" spans="5:8" x14ac:dyDescent="0.2">
      <c r="E31" s="1"/>
      <c r="F31" s="1"/>
      <c r="G31" s="11"/>
      <c r="H31" s="1"/>
    </row>
    <row r="32" spans="5:8" x14ac:dyDescent="0.2">
      <c r="E32" s="1"/>
      <c r="F32" s="1"/>
      <c r="G32" s="11"/>
      <c r="H32" s="1"/>
    </row>
    <row r="33" spans="5:8" x14ac:dyDescent="0.2">
      <c r="E33" s="1"/>
      <c r="F33" s="1"/>
      <c r="G33" s="11"/>
      <c r="H33" s="1"/>
    </row>
    <row r="34" spans="5:8" x14ac:dyDescent="0.2">
      <c r="E34" s="1"/>
      <c r="F34" s="1"/>
      <c r="G34" s="11"/>
      <c r="H34" s="1"/>
    </row>
    <row r="35" spans="5:8" x14ac:dyDescent="0.2">
      <c r="E35" s="1"/>
      <c r="F35" s="1"/>
      <c r="G35" s="11"/>
      <c r="H35" s="1"/>
    </row>
    <row r="36" spans="5:8" x14ac:dyDescent="0.2">
      <c r="E36" s="1"/>
      <c r="F36" s="1"/>
      <c r="G36" s="11"/>
      <c r="H36" s="1"/>
    </row>
    <row r="37" spans="5:8" x14ac:dyDescent="0.2">
      <c r="E37" s="1"/>
      <c r="F37" s="1"/>
      <c r="G37" s="11"/>
      <c r="H37" s="1"/>
    </row>
    <row r="38" spans="5:8" x14ac:dyDescent="0.2">
      <c r="E38" s="1"/>
      <c r="F38" s="1"/>
      <c r="G38" s="11"/>
      <c r="H38" s="1"/>
    </row>
    <row r="39" spans="5:8" x14ac:dyDescent="0.2">
      <c r="E39" s="1"/>
      <c r="F39" s="1"/>
      <c r="G39" s="11"/>
      <c r="H39" s="1"/>
    </row>
    <row r="40" spans="5:8" x14ac:dyDescent="0.2">
      <c r="E40" s="1"/>
      <c r="F40" s="1"/>
      <c r="G40" s="11"/>
      <c r="H40" s="1"/>
    </row>
    <row r="41" spans="5:8" x14ac:dyDescent="0.2">
      <c r="E41" s="1"/>
      <c r="F41" s="1"/>
      <c r="G41" s="11"/>
      <c r="H41" s="1"/>
    </row>
    <row r="42" spans="5:8" x14ac:dyDescent="0.2">
      <c r="E42" s="1"/>
      <c r="F42" s="1"/>
      <c r="G42" s="11"/>
      <c r="H42" s="1"/>
    </row>
    <row r="43" spans="5:8" x14ac:dyDescent="0.2">
      <c r="E43" s="1"/>
      <c r="F43" s="1"/>
      <c r="G43" s="11"/>
      <c r="H43" s="1"/>
    </row>
    <row r="44" spans="5:8" x14ac:dyDescent="0.2">
      <c r="E44" s="1"/>
      <c r="F44" s="1"/>
      <c r="G44" s="11"/>
      <c r="H44" s="1"/>
    </row>
    <row r="45" spans="5:8" x14ac:dyDescent="0.2">
      <c r="E45" s="1"/>
      <c r="F45" s="1"/>
      <c r="G45" s="11"/>
      <c r="H45" s="1"/>
    </row>
    <row r="46" spans="5:8" x14ac:dyDescent="0.2">
      <c r="E46" s="1"/>
      <c r="F46" s="1"/>
      <c r="G46" s="11"/>
      <c r="H46" s="1"/>
    </row>
    <row r="47" spans="5:8" x14ac:dyDescent="0.2">
      <c r="E47" s="1"/>
      <c r="F47" s="1"/>
      <c r="G47" s="11"/>
      <c r="H47" s="1"/>
    </row>
    <row r="48" spans="5:8" x14ac:dyDescent="0.2">
      <c r="E48" s="1"/>
      <c r="F48" s="1"/>
      <c r="G48" s="11"/>
      <c r="H48" s="1"/>
    </row>
    <row r="49" spans="5:8" x14ac:dyDescent="0.2">
      <c r="E49" s="1"/>
      <c r="F49" s="1"/>
      <c r="G49" s="11"/>
      <c r="H49" s="1"/>
    </row>
  </sheetData>
  <mergeCells count="1">
    <mergeCell ref="E2:H3"/>
  </mergeCells>
  <phoneticPr fontId="3" type="noConversion"/>
  <printOptions horizontalCentered="1" verticalCentered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1"/>
  <sheetViews>
    <sheetView topLeftCell="C127" workbookViewId="0">
      <selection activeCell="H142" sqref="H142"/>
    </sheetView>
  </sheetViews>
  <sheetFormatPr defaultRowHeight="12.75" x14ac:dyDescent="0.2"/>
  <cols>
    <col min="1" max="1" width="11.42578125" bestFit="1" customWidth="1"/>
    <col min="2" max="2" width="11.85546875" customWidth="1"/>
    <col min="5" max="5" width="22.85546875" customWidth="1"/>
    <col min="6" max="6" width="13" customWidth="1"/>
    <col min="7" max="7" width="14.7109375" customWidth="1"/>
    <col min="8" max="8" width="37.5703125" bestFit="1" customWidth="1"/>
    <col min="9" max="9" width="38.7109375" bestFit="1" customWidth="1"/>
  </cols>
  <sheetData>
    <row r="1" spans="1:9" x14ac:dyDescent="0.2">
      <c r="A1" s="13">
        <f ca="1">TODAY()</f>
        <v>42508</v>
      </c>
    </row>
    <row r="2" spans="1:9" ht="12.75" customHeight="1" x14ac:dyDescent="0.2">
      <c r="A2" s="13"/>
      <c r="E2" s="136" t="s">
        <v>312</v>
      </c>
      <c r="F2" s="136"/>
      <c r="G2" s="136"/>
      <c r="H2" s="136"/>
    </row>
    <row r="3" spans="1:9" ht="12.75" customHeight="1" x14ac:dyDescent="0.2">
      <c r="E3" s="136"/>
      <c r="F3" s="136"/>
      <c r="G3" s="136"/>
      <c r="H3" s="136"/>
    </row>
    <row r="4" spans="1:9" x14ac:dyDescent="0.2">
      <c r="E4" s="2" t="s">
        <v>0</v>
      </c>
      <c r="F4" s="2" t="s">
        <v>3</v>
      </c>
      <c r="G4" s="2" t="s">
        <v>2</v>
      </c>
      <c r="H4" s="10" t="s">
        <v>225</v>
      </c>
    </row>
    <row r="5" spans="1:9" x14ac:dyDescent="0.2">
      <c r="E5" s="36" t="s">
        <v>150</v>
      </c>
      <c r="F5" s="26">
        <v>114093</v>
      </c>
      <c r="G5" s="27">
        <v>2</v>
      </c>
      <c r="H5" s="29" t="s">
        <v>84</v>
      </c>
    </row>
    <row r="6" spans="1:9" x14ac:dyDescent="0.2">
      <c r="E6" s="36" t="s">
        <v>123</v>
      </c>
      <c r="F6" s="36">
        <v>64280703</v>
      </c>
      <c r="G6" s="27">
        <v>1</v>
      </c>
      <c r="H6" s="33" t="s">
        <v>84</v>
      </c>
      <c r="I6" s="21"/>
    </row>
    <row r="7" spans="1:9" x14ac:dyDescent="0.2">
      <c r="E7" s="36" t="s">
        <v>53</v>
      </c>
      <c r="F7" s="36">
        <v>51</v>
      </c>
      <c r="G7" s="27">
        <v>1</v>
      </c>
      <c r="H7" s="33" t="s">
        <v>84</v>
      </c>
      <c r="I7" s="30"/>
    </row>
    <row r="8" spans="1:9" x14ac:dyDescent="0.2">
      <c r="E8" s="36" t="s">
        <v>11</v>
      </c>
      <c r="F8" s="55">
        <v>952770416</v>
      </c>
      <c r="G8" s="27">
        <v>1</v>
      </c>
      <c r="H8" s="29" t="s">
        <v>145</v>
      </c>
      <c r="I8" s="30"/>
    </row>
    <row r="9" spans="1:9" x14ac:dyDescent="0.2">
      <c r="E9" s="36" t="s">
        <v>8</v>
      </c>
      <c r="F9" s="55">
        <v>953381193</v>
      </c>
      <c r="G9" s="27">
        <v>1</v>
      </c>
      <c r="H9" s="29" t="s">
        <v>145</v>
      </c>
      <c r="I9" s="30"/>
    </row>
    <row r="10" spans="1:9" x14ac:dyDescent="0.2">
      <c r="E10" s="36" t="s">
        <v>9</v>
      </c>
      <c r="F10" s="36">
        <v>983445094</v>
      </c>
      <c r="G10" s="27">
        <v>1</v>
      </c>
      <c r="H10" s="29" t="s">
        <v>145</v>
      </c>
      <c r="I10" s="30"/>
    </row>
    <row r="11" spans="1:9" x14ac:dyDescent="0.2">
      <c r="E11" s="36" t="s">
        <v>58</v>
      </c>
      <c r="F11" s="55">
        <v>952770418</v>
      </c>
      <c r="G11" s="27">
        <v>1</v>
      </c>
      <c r="H11" s="29" t="s">
        <v>145</v>
      </c>
      <c r="I11" s="30"/>
    </row>
    <row r="12" spans="1:9" x14ac:dyDescent="0.2">
      <c r="E12" s="36" t="s">
        <v>142</v>
      </c>
      <c r="F12" s="37" t="s">
        <v>155</v>
      </c>
      <c r="G12" s="27">
        <v>1</v>
      </c>
      <c r="H12" s="34" t="s">
        <v>144</v>
      </c>
      <c r="I12" s="30"/>
    </row>
    <row r="13" spans="1:9" x14ac:dyDescent="0.2">
      <c r="E13" s="36" t="s">
        <v>142</v>
      </c>
      <c r="F13" s="26">
        <v>118111</v>
      </c>
      <c r="G13" s="27">
        <v>1</v>
      </c>
      <c r="H13" s="34" t="s">
        <v>144</v>
      </c>
      <c r="I13" s="30"/>
    </row>
    <row r="14" spans="1:9" x14ac:dyDescent="0.2">
      <c r="E14" s="36" t="s">
        <v>142</v>
      </c>
      <c r="F14" s="26">
        <v>130295</v>
      </c>
      <c r="G14" s="27">
        <v>1</v>
      </c>
      <c r="H14" s="34" t="s">
        <v>144</v>
      </c>
      <c r="I14" s="30"/>
    </row>
    <row r="15" spans="1:9" x14ac:dyDescent="0.2">
      <c r="E15" s="36" t="s">
        <v>142</v>
      </c>
      <c r="F15" s="26">
        <v>126268</v>
      </c>
      <c r="G15" s="27">
        <v>1</v>
      </c>
      <c r="H15" s="34" t="s">
        <v>144</v>
      </c>
      <c r="I15" s="30"/>
    </row>
    <row r="16" spans="1:9" x14ac:dyDescent="0.2">
      <c r="E16" s="36" t="s">
        <v>142</v>
      </c>
      <c r="F16" s="26">
        <v>130296</v>
      </c>
      <c r="G16" s="27">
        <v>1</v>
      </c>
      <c r="H16" s="34" t="s">
        <v>144</v>
      </c>
      <c r="I16" s="30"/>
    </row>
    <row r="17" spans="5:9" x14ac:dyDescent="0.2">
      <c r="E17" s="36" t="s">
        <v>142</v>
      </c>
      <c r="F17" s="26">
        <v>119695</v>
      </c>
      <c r="G17" s="27">
        <v>1</v>
      </c>
      <c r="H17" s="34" t="s">
        <v>144</v>
      </c>
      <c r="I17" s="30"/>
    </row>
    <row r="18" spans="5:9" x14ac:dyDescent="0.2">
      <c r="E18" s="36" t="s">
        <v>51</v>
      </c>
      <c r="F18" s="36" t="s">
        <v>52</v>
      </c>
      <c r="G18" s="27">
        <v>1</v>
      </c>
      <c r="H18" s="33" t="s">
        <v>226</v>
      </c>
      <c r="I18" s="21"/>
    </row>
    <row r="19" spans="5:9" ht="12" customHeight="1" x14ac:dyDescent="0.2">
      <c r="E19" s="36" t="s">
        <v>107</v>
      </c>
      <c r="F19" s="26" t="s">
        <v>104</v>
      </c>
      <c r="G19" s="27">
        <v>1</v>
      </c>
      <c r="H19" s="33" t="s">
        <v>166</v>
      </c>
      <c r="I19" s="30"/>
    </row>
    <row r="20" spans="5:9" x14ac:dyDescent="0.2">
      <c r="E20" s="56" t="s">
        <v>121</v>
      </c>
      <c r="F20" s="57" t="s">
        <v>168</v>
      </c>
      <c r="G20" s="58">
        <v>1</v>
      </c>
      <c r="H20" s="59" t="s">
        <v>187</v>
      </c>
      <c r="I20" s="21"/>
    </row>
    <row r="21" spans="5:9" x14ac:dyDescent="0.2">
      <c r="E21" s="36" t="s">
        <v>61</v>
      </c>
      <c r="F21" s="36">
        <v>155469</v>
      </c>
      <c r="G21" s="27">
        <v>1</v>
      </c>
      <c r="H21" s="35" t="s">
        <v>187</v>
      </c>
      <c r="I21" s="31"/>
    </row>
    <row r="22" spans="5:9" x14ac:dyDescent="0.2">
      <c r="E22" s="36" t="s">
        <v>66</v>
      </c>
      <c r="F22" s="36">
        <v>166082</v>
      </c>
      <c r="G22" s="27">
        <v>1</v>
      </c>
      <c r="H22" s="35" t="s">
        <v>187</v>
      </c>
      <c r="I22" s="30"/>
    </row>
    <row r="23" spans="5:9" x14ac:dyDescent="0.2">
      <c r="E23" s="61" t="s">
        <v>149</v>
      </c>
      <c r="F23" s="36">
        <v>111155653</v>
      </c>
      <c r="G23" s="27">
        <v>1</v>
      </c>
      <c r="H23" s="35" t="s">
        <v>187</v>
      </c>
      <c r="I23" s="30"/>
    </row>
    <row r="24" spans="5:9" x14ac:dyDescent="0.2">
      <c r="E24" s="66" t="s">
        <v>156</v>
      </c>
      <c r="F24" s="67">
        <v>517843</v>
      </c>
      <c r="G24" s="58">
        <v>1</v>
      </c>
      <c r="H24" s="59" t="s">
        <v>187</v>
      </c>
      <c r="I24" s="21"/>
    </row>
    <row r="25" spans="5:9" x14ac:dyDescent="0.2">
      <c r="E25" s="36" t="s">
        <v>12</v>
      </c>
      <c r="F25" s="36">
        <v>474751</v>
      </c>
      <c r="G25" s="27">
        <v>1</v>
      </c>
      <c r="H25" s="33">
        <v>40926</v>
      </c>
      <c r="I25" s="21"/>
    </row>
    <row r="26" spans="5:9" x14ac:dyDescent="0.2">
      <c r="E26" s="75" t="s">
        <v>107</v>
      </c>
      <c r="F26" s="76" t="s">
        <v>102</v>
      </c>
      <c r="G26" s="77">
        <v>1</v>
      </c>
      <c r="H26" s="78" t="s">
        <v>352</v>
      </c>
    </row>
    <row r="27" spans="5:9" x14ac:dyDescent="0.2">
      <c r="E27" s="14" t="s">
        <v>236</v>
      </c>
      <c r="F27" s="14" t="s">
        <v>237</v>
      </c>
      <c r="G27" s="71"/>
      <c r="H27" s="74" t="s">
        <v>225</v>
      </c>
    </row>
    <row r="28" spans="5:9" x14ac:dyDescent="0.2">
      <c r="E28" s="14" t="s">
        <v>238</v>
      </c>
      <c r="F28" s="14" t="s">
        <v>118</v>
      </c>
      <c r="G28" s="14"/>
      <c r="H28" s="74" t="s">
        <v>225</v>
      </c>
    </row>
    <row r="29" spans="5:9" x14ac:dyDescent="0.2">
      <c r="E29" s="14" t="s">
        <v>239</v>
      </c>
      <c r="F29" s="14" t="s">
        <v>105</v>
      </c>
      <c r="G29" s="14"/>
      <c r="H29" s="74" t="s">
        <v>225</v>
      </c>
    </row>
    <row r="30" spans="5:9" x14ac:dyDescent="0.2">
      <c r="E30" s="14" t="s">
        <v>240</v>
      </c>
      <c r="F30" s="14" t="s">
        <v>116</v>
      </c>
      <c r="G30" s="14"/>
      <c r="H30" s="74" t="s">
        <v>225</v>
      </c>
    </row>
    <row r="31" spans="5:9" x14ac:dyDescent="0.2">
      <c r="E31" s="14" t="s">
        <v>241</v>
      </c>
      <c r="F31" s="14" t="s">
        <v>114</v>
      </c>
      <c r="G31" s="14"/>
      <c r="H31" s="74" t="s">
        <v>225</v>
      </c>
    </row>
    <row r="32" spans="5:9" x14ac:dyDescent="0.2">
      <c r="E32" s="14" t="s">
        <v>241</v>
      </c>
      <c r="F32" s="14" t="s">
        <v>112</v>
      </c>
      <c r="G32" s="14"/>
      <c r="H32" s="74" t="s">
        <v>225</v>
      </c>
    </row>
    <row r="33" spans="5:8" x14ac:dyDescent="0.2">
      <c r="E33" s="14" t="s">
        <v>241</v>
      </c>
      <c r="F33" s="14" t="s">
        <v>111</v>
      </c>
      <c r="G33" s="14"/>
      <c r="H33" s="74" t="s">
        <v>225</v>
      </c>
    </row>
    <row r="34" spans="5:8" x14ac:dyDescent="0.2">
      <c r="E34" s="14" t="s">
        <v>241</v>
      </c>
      <c r="F34" s="14" t="s">
        <v>113</v>
      </c>
      <c r="G34" s="14"/>
      <c r="H34" s="74" t="s">
        <v>225</v>
      </c>
    </row>
    <row r="35" spans="5:8" x14ac:dyDescent="0.2">
      <c r="E35" s="14" t="s">
        <v>241</v>
      </c>
      <c r="F35" s="14" t="s">
        <v>109</v>
      </c>
      <c r="G35" s="14"/>
      <c r="H35" s="74" t="s">
        <v>225</v>
      </c>
    </row>
    <row r="36" spans="5:8" x14ac:dyDescent="0.2">
      <c r="E36" s="14" t="s">
        <v>241</v>
      </c>
      <c r="F36" s="14" t="s">
        <v>110</v>
      </c>
      <c r="G36" s="14"/>
      <c r="H36" s="74" t="s">
        <v>225</v>
      </c>
    </row>
    <row r="37" spans="5:8" x14ac:dyDescent="0.2">
      <c r="E37" s="14" t="s">
        <v>242</v>
      </c>
      <c r="F37" s="14" t="s">
        <v>243</v>
      </c>
      <c r="G37" s="14"/>
      <c r="H37" s="74" t="s">
        <v>225</v>
      </c>
    </row>
    <row r="38" spans="5:8" x14ac:dyDescent="0.2">
      <c r="E38" s="68" t="s">
        <v>245</v>
      </c>
      <c r="F38" s="16">
        <v>198624</v>
      </c>
      <c r="G38" s="14"/>
      <c r="H38" s="74" t="s">
        <v>225</v>
      </c>
    </row>
    <row r="39" spans="5:8" x14ac:dyDescent="0.2">
      <c r="E39" s="68" t="s">
        <v>246</v>
      </c>
      <c r="F39" s="16">
        <v>129150</v>
      </c>
      <c r="G39" s="14"/>
      <c r="H39" s="74" t="s">
        <v>225</v>
      </c>
    </row>
    <row r="40" spans="5:8" x14ac:dyDescent="0.2">
      <c r="E40" s="68" t="s">
        <v>247</v>
      </c>
      <c r="F40" s="16">
        <v>132518</v>
      </c>
      <c r="G40" s="14"/>
      <c r="H40" s="74" t="s">
        <v>225</v>
      </c>
    </row>
    <row r="41" spans="5:8" x14ac:dyDescent="0.2">
      <c r="E41" s="68" t="s">
        <v>244</v>
      </c>
      <c r="F41" s="16">
        <v>190990</v>
      </c>
      <c r="G41" s="14"/>
      <c r="H41" s="74" t="s">
        <v>225</v>
      </c>
    </row>
    <row r="42" spans="5:8" x14ac:dyDescent="0.2">
      <c r="E42" s="14" t="s">
        <v>244</v>
      </c>
      <c r="F42" s="16">
        <v>166079</v>
      </c>
      <c r="G42" s="14"/>
      <c r="H42" s="74" t="s">
        <v>225</v>
      </c>
    </row>
    <row r="43" spans="5:8" x14ac:dyDescent="0.2">
      <c r="E43" s="14" t="s">
        <v>244</v>
      </c>
      <c r="F43" s="16">
        <v>204922</v>
      </c>
      <c r="G43" s="14"/>
      <c r="H43" s="74" t="s">
        <v>225</v>
      </c>
    </row>
    <row r="44" spans="5:8" x14ac:dyDescent="0.2">
      <c r="E44" s="14" t="s">
        <v>244</v>
      </c>
      <c r="F44" s="16">
        <v>166065</v>
      </c>
      <c r="G44" s="14"/>
      <c r="H44" s="74" t="s">
        <v>225</v>
      </c>
    </row>
    <row r="45" spans="5:8" x14ac:dyDescent="0.2">
      <c r="E45" s="14" t="s">
        <v>244</v>
      </c>
      <c r="F45" s="16">
        <v>166080</v>
      </c>
      <c r="G45" s="14"/>
      <c r="H45" s="74" t="s">
        <v>225</v>
      </c>
    </row>
    <row r="46" spans="5:8" x14ac:dyDescent="0.2">
      <c r="E46" s="14" t="s">
        <v>244</v>
      </c>
      <c r="F46" s="16">
        <v>146200</v>
      </c>
      <c r="G46" s="14"/>
      <c r="H46" s="74" t="s">
        <v>225</v>
      </c>
    </row>
    <row r="47" spans="5:8" x14ac:dyDescent="0.2">
      <c r="E47" s="14" t="s">
        <v>244</v>
      </c>
      <c r="F47" s="16">
        <v>166066</v>
      </c>
      <c r="G47" s="14"/>
      <c r="H47" s="74" t="s">
        <v>225</v>
      </c>
    </row>
    <row r="48" spans="5:8" x14ac:dyDescent="0.2">
      <c r="E48" s="69" t="s">
        <v>244</v>
      </c>
      <c r="F48" s="70">
        <v>191034</v>
      </c>
      <c r="G48" s="14"/>
      <c r="H48" s="74" t="s">
        <v>225</v>
      </c>
    </row>
    <row r="49" spans="5:9" x14ac:dyDescent="0.2">
      <c r="E49" s="63" t="s">
        <v>248</v>
      </c>
      <c r="F49" s="4"/>
      <c r="G49" s="69"/>
      <c r="H49" s="74" t="s">
        <v>225</v>
      </c>
      <c r="I49" s="72" t="s">
        <v>265</v>
      </c>
    </row>
    <row r="50" spans="5:9" x14ac:dyDescent="0.2">
      <c r="E50" s="63" t="s">
        <v>53</v>
      </c>
      <c r="F50" s="4">
        <v>53</v>
      </c>
      <c r="G50" s="69"/>
      <c r="H50" s="74" t="s">
        <v>225</v>
      </c>
      <c r="I50" s="72" t="s">
        <v>265</v>
      </c>
    </row>
    <row r="51" spans="5:9" x14ac:dyDescent="0.2">
      <c r="E51" s="63" t="s">
        <v>53</v>
      </c>
      <c r="F51" s="4">
        <v>57</v>
      </c>
      <c r="G51" s="69"/>
      <c r="H51" s="74" t="s">
        <v>225</v>
      </c>
      <c r="I51" s="72" t="s">
        <v>265</v>
      </c>
    </row>
    <row r="52" spans="5:9" x14ac:dyDescent="0.2">
      <c r="E52" s="63" t="s">
        <v>53</v>
      </c>
      <c r="F52" s="4">
        <v>49</v>
      </c>
      <c r="G52" s="4"/>
      <c r="H52" s="74" t="s">
        <v>225</v>
      </c>
      <c r="I52" s="72" t="s">
        <v>265</v>
      </c>
    </row>
    <row r="53" spans="5:9" x14ac:dyDescent="0.2">
      <c r="E53" s="63" t="s">
        <v>53</v>
      </c>
      <c r="F53" s="4">
        <v>109</v>
      </c>
      <c r="G53" s="4"/>
      <c r="H53" s="74" t="s">
        <v>225</v>
      </c>
      <c r="I53" s="72" t="s">
        <v>265</v>
      </c>
    </row>
    <row r="54" spans="5:9" x14ac:dyDescent="0.2">
      <c r="E54" s="63" t="s">
        <v>53</v>
      </c>
      <c r="F54" s="63" t="s">
        <v>249</v>
      </c>
      <c r="G54" s="4"/>
      <c r="H54" s="74" t="s">
        <v>225</v>
      </c>
      <c r="I54" s="72" t="s">
        <v>265</v>
      </c>
    </row>
    <row r="55" spans="5:9" x14ac:dyDescent="0.2">
      <c r="E55" s="63" t="s">
        <v>250</v>
      </c>
      <c r="F55" s="63" t="s">
        <v>251</v>
      </c>
      <c r="G55" s="4"/>
      <c r="H55" s="74" t="s">
        <v>225</v>
      </c>
      <c r="I55" s="72" t="s">
        <v>265</v>
      </c>
    </row>
    <row r="56" spans="5:9" x14ac:dyDescent="0.2">
      <c r="E56" s="63" t="s">
        <v>250</v>
      </c>
      <c r="F56" s="63" t="s">
        <v>252</v>
      </c>
      <c r="G56" s="4"/>
      <c r="H56" s="74" t="s">
        <v>225</v>
      </c>
      <c r="I56" s="72" t="s">
        <v>265</v>
      </c>
    </row>
    <row r="57" spans="5:9" x14ac:dyDescent="0.2">
      <c r="E57" s="63" t="s">
        <v>253</v>
      </c>
      <c r="F57" s="63" t="s">
        <v>254</v>
      </c>
      <c r="G57" s="4"/>
      <c r="H57" s="74" t="s">
        <v>225</v>
      </c>
      <c r="I57" s="72" t="s">
        <v>265</v>
      </c>
    </row>
    <row r="58" spans="5:9" x14ac:dyDescent="0.2">
      <c r="E58" s="63" t="s">
        <v>253</v>
      </c>
      <c r="F58" s="63" t="s">
        <v>255</v>
      </c>
      <c r="G58" s="4"/>
      <c r="H58" s="74" t="s">
        <v>225</v>
      </c>
      <c r="I58" s="72" t="s">
        <v>265</v>
      </c>
    </row>
    <row r="59" spans="5:9" x14ac:dyDescent="0.2">
      <c r="E59" s="63" t="s">
        <v>253</v>
      </c>
      <c r="F59" s="63" t="s">
        <v>256</v>
      </c>
      <c r="G59" s="4"/>
      <c r="H59" s="74" t="s">
        <v>225</v>
      </c>
      <c r="I59" s="72" t="s">
        <v>265</v>
      </c>
    </row>
    <row r="60" spans="5:9" x14ac:dyDescent="0.2">
      <c r="E60" s="63" t="s">
        <v>258</v>
      </c>
      <c r="F60" s="63" t="s">
        <v>259</v>
      </c>
      <c r="G60" s="4"/>
      <c r="H60" s="74" t="s">
        <v>225</v>
      </c>
      <c r="I60" s="72" t="s">
        <v>265</v>
      </c>
    </row>
    <row r="61" spans="5:9" x14ac:dyDescent="0.2">
      <c r="E61" s="63" t="s">
        <v>258</v>
      </c>
      <c r="F61" s="63" t="s">
        <v>260</v>
      </c>
      <c r="G61" s="4"/>
      <c r="H61" s="74" t="s">
        <v>225</v>
      </c>
      <c r="I61" s="72" t="s">
        <v>265</v>
      </c>
    </row>
    <row r="62" spans="5:9" x14ac:dyDescent="0.2">
      <c r="E62" s="63" t="s">
        <v>258</v>
      </c>
      <c r="F62" s="63" t="s">
        <v>261</v>
      </c>
      <c r="G62" s="4"/>
      <c r="H62" s="74" t="s">
        <v>225</v>
      </c>
      <c r="I62" s="72" t="s">
        <v>265</v>
      </c>
    </row>
    <row r="63" spans="5:9" x14ac:dyDescent="0.2">
      <c r="E63" s="63" t="s">
        <v>258</v>
      </c>
      <c r="F63" s="63" t="s">
        <v>262</v>
      </c>
      <c r="G63" s="4"/>
      <c r="H63" s="74" t="s">
        <v>225</v>
      </c>
      <c r="I63" s="72" t="s">
        <v>265</v>
      </c>
    </row>
    <row r="64" spans="5:9" x14ac:dyDescent="0.2">
      <c r="E64" s="63" t="s">
        <v>258</v>
      </c>
      <c r="F64" s="63" t="s">
        <v>263</v>
      </c>
      <c r="G64" s="4"/>
      <c r="H64" s="74" t="s">
        <v>225</v>
      </c>
      <c r="I64" s="72" t="s">
        <v>265</v>
      </c>
    </row>
    <row r="65" spans="5:9" x14ac:dyDescent="0.2">
      <c r="E65" s="63" t="s">
        <v>258</v>
      </c>
      <c r="F65" s="63" t="s">
        <v>264</v>
      </c>
      <c r="G65" s="4"/>
      <c r="H65" s="74" t="s">
        <v>225</v>
      </c>
      <c r="I65" s="72" t="s">
        <v>265</v>
      </c>
    </row>
    <row r="66" spans="5:9" x14ac:dyDescent="0.2">
      <c r="E66" s="63" t="s">
        <v>258</v>
      </c>
      <c r="F66" s="63" t="s">
        <v>257</v>
      </c>
      <c r="G66" s="4"/>
      <c r="H66" s="74" t="s">
        <v>225</v>
      </c>
      <c r="I66" s="63" t="s">
        <v>265</v>
      </c>
    </row>
    <row r="67" spans="5:9" x14ac:dyDescent="0.2">
      <c r="E67" s="63" t="s">
        <v>266</v>
      </c>
      <c r="F67" s="4">
        <v>63</v>
      </c>
      <c r="G67" s="4"/>
      <c r="H67" s="74" t="s">
        <v>225</v>
      </c>
      <c r="I67" s="63" t="s">
        <v>265</v>
      </c>
    </row>
    <row r="68" spans="5:9" x14ac:dyDescent="0.2">
      <c r="E68" s="63" t="s">
        <v>266</v>
      </c>
      <c r="F68" s="4">
        <v>64</v>
      </c>
      <c r="G68" s="4"/>
      <c r="H68" s="74" t="s">
        <v>225</v>
      </c>
      <c r="I68" s="63" t="s">
        <v>267</v>
      </c>
    </row>
    <row r="69" spans="5:9" x14ac:dyDescent="0.2">
      <c r="E69" s="63" t="s">
        <v>250</v>
      </c>
      <c r="F69" s="4">
        <v>10321</v>
      </c>
      <c r="G69" s="4"/>
      <c r="H69" s="74" t="s">
        <v>225</v>
      </c>
      <c r="I69" s="63" t="s">
        <v>267</v>
      </c>
    </row>
    <row r="70" spans="5:9" x14ac:dyDescent="0.2">
      <c r="E70" s="63" t="s">
        <v>250</v>
      </c>
      <c r="F70" s="4">
        <v>10304</v>
      </c>
      <c r="G70" s="4"/>
      <c r="H70" s="74" t="s">
        <v>225</v>
      </c>
      <c r="I70" s="63" t="s">
        <v>267</v>
      </c>
    </row>
    <row r="71" spans="5:9" x14ac:dyDescent="0.2">
      <c r="E71" s="63" t="s">
        <v>250</v>
      </c>
      <c r="F71" s="4">
        <v>10328</v>
      </c>
      <c r="G71" s="4"/>
      <c r="H71" s="74" t="s">
        <v>225</v>
      </c>
      <c r="I71" s="63" t="s">
        <v>267</v>
      </c>
    </row>
    <row r="72" spans="5:9" x14ac:dyDescent="0.2">
      <c r="E72" s="63" t="s">
        <v>250</v>
      </c>
      <c r="F72" s="4">
        <v>10332</v>
      </c>
      <c r="G72" s="4"/>
      <c r="H72" s="74" t="s">
        <v>225</v>
      </c>
      <c r="I72" s="4"/>
    </row>
    <row r="73" spans="5:9" x14ac:dyDescent="0.2">
      <c r="E73" s="63" t="s">
        <v>268</v>
      </c>
      <c r="F73" s="4">
        <v>112927</v>
      </c>
      <c r="G73" s="4"/>
      <c r="H73" s="74" t="s">
        <v>225</v>
      </c>
      <c r="I73" s="4"/>
    </row>
    <row r="74" spans="5:9" x14ac:dyDescent="0.2">
      <c r="E74" s="63" t="s">
        <v>268</v>
      </c>
      <c r="F74" s="4">
        <v>105330</v>
      </c>
      <c r="G74" s="4"/>
      <c r="H74" s="74" t="s">
        <v>225</v>
      </c>
      <c r="I74" s="63" t="s">
        <v>271</v>
      </c>
    </row>
    <row r="75" spans="5:9" x14ac:dyDescent="0.2">
      <c r="E75" s="63" t="s">
        <v>270</v>
      </c>
      <c r="F75" s="63" t="s">
        <v>269</v>
      </c>
      <c r="G75" s="4"/>
      <c r="H75" s="74" t="s">
        <v>225</v>
      </c>
      <c r="I75" s="63" t="s">
        <v>271</v>
      </c>
    </row>
    <row r="76" spans="5:9" x14ac:dyDescent="0.2">
      <c r="E76" s="63" t="s">
        <v>272</v>
      </c>
      <c r="F76" s="63" t="s">
        <v>273</v>
      </c>
      <c r="G76" s="4"/>
      <c r="H76" s="74" t="s">
        <v>225</v>
      </c>
      <c r="I76" s="63" t="s">
        <v>275</v>
      </c>
    </row>
    <row r="77" spans="5:9" x14ac:dyDescent="0.2">
      <c r="E77" s="63" t="s">
        <v>274</v>
      </c>
      <c r="F77" s="4">
        <v>3</v>
      </c>
      <c r="G77" s="4"/>
      <c r="H77" s="74" t="s">
        <v>225</v>
      </c>
      <c r="I77" s="4"/>
    </row>
    <row r="78" spans="5:9" x14ac:dyDescent="0.2">
      <c r="E78" s="63" t="s">
        <v>276</v>
      </c>
      <c r="F78" s="4">
        <v>2370</v>
      </c>
      <c r="G78" s="4"/>
      <c r="H78" s="74" t="s">
        <v>225</v>
      </c>
      <c r="I78" s="4"/>
    </row>
    <row r="79" spans="5:9" x14ac:dyDescent="0.2">
      <c r="E79" s="63" t="s">
        <v>277</v>
      </c>
      <c r="F79" s="4">
        <v>2626</v>
      </c>
      <c r="G79" s="4"/>
      <c r="H79" s="74" t="s">
        <v>225</v>
      </c>
      <c r="I79" s="63" t="s">
        <v>279</v>
      </c>
    </row>
    <row r="80" spans="5:9" x14ac:dyDescent="0.2">
      <c r="E80" s="63" t="s">
        <v>278</v>
      </c>
      <c r="F80" s="4">
        <v>1157682</v>
      </c>
      <c r="G80" s="4"/>
      <c r="H80" s="74" t="s">
        <v>225</v>
      </c>
      <c r="I80" s="63" t="s">
        <v>279</v>
      </c>
    </row>
    <row r="81" spans="5:9" x14ac:dyDescent="0.2">
      <c r="E81" s="63" t="s">
        <v>278</v>
      </c>
      <c r="F81" s="4">
        <v>1135651</v>
      </c>
      <c r="G81" s="4"/>
      <c r="H81" s="74" t="s">
        <v>225</v>
      </c>
      <c r="I81" s="63" t="s">
        <v>279</v>
      </c>
    </row>
    <row r="82" spans="5:9" x14ac:dyDescent="0.2">
      <c r="E82" s="63" t="s">
        <v>278</v>
      </c>
      <c r="F82" s="4">
        <v>807919</v>
      </c>
      <c r="G82" s="4"/>
      <c r="H82" s="74" t="s">
        <v>225</v>
      </c>
      <c r="I82" s="63" t="s">
        <v>279</v>
      </c>
    </row>
    <row r="83" spans="5:9" x14ac:dyDescent="0.2">
      <c r="E83" s="63" t="s">
        <v>278</v>
      </c>
      <c r="F83" s="4">
        <v>1136375</v>
      </c>
      <c r="G83" s="4"/>
      <c r="H83" s="74" t="s">
        <v>225</v>
      </c>
      <c r="I83" s="63" t="s">
        <v>279</v>
      </c>
    </row>
    <row r="84" spans="5:9" x14ac:dyDescent="0.2">
      <c r="E84" s="63" t="s">
        <v>278</v>
      </c>
      <c r="F84" s="4">
        <v>1120054</v>
      </c>
      <c r="G84" s="4"/>
      <c r="H84" s="74" t="s">
        <v>225</v>
      </c>
      <c r="I84" s="63" t="s">
        <v>279</v>
      </c>
    </row>
    <row r="85" spans="5:9" x14ac:dyDescent="0.2">
      <c r="E85" s="63" t="s">
        <v>278</v>
      </c>
      <c r="F85" s="4">
        <v>1148094</v>
      </c>
      <c r="G85" s="4"/>
      <c r="H85" s="74" t="s">
        <v>225</v>
      </c>
      <c r="I85" s="63" t="s">
        <v>279</v>
      </c>
    </row>
    <row r="86" spans="5:9" x14ac:dyDescent="0.2">
      <c r="E86" s="63" t="s">
        <v>278</v>
      </c>
      <c r="F86" s="4">
        <v>1158531</v>
      </c>
      <c r="G86" s="4"/>
      <c r="H86" s="74" t="s">
        <v>225</v>
      </c>
      <c r="I86" s="63" t="s">
        <v>281</v>
      </c>
    </row>
    <row r="87" spans="5:9" x14ac:dyDescent="0.2">
      <c r="E87" s="63" t="s">
        <v>280</v>
      </c>
      <c r="F87" s="4">
        <v>863490</v>
      </c>
      <c r="G87" s="4"/>
      <c r="H87" s="74" t="s">
        <v>225</v>
      </c>
      <c r="I87" s="63" t="s">
        <v>281</v>
      </c>
    </row>
    <row r="88" spans="5:9" x14ac:dyDescent="0.2">
      <c r="E88" s="63" t="s">
        <v>282</v>
      </c>
      <c r="F88" s="4">
        <v>44977</v>
      </c>
      <c r="G88" s="4"/>
      <c r="H88" s="74" t="s">
        <v>225</v>
      </c>
      <c r="I88" s="63" t="s">
        <v>284</v>
      </c>
    </row>
    <row r="89" spans="5:9" x14ac:dyDescent="0.2">
      <c r="E89" s="63" t="s">
        <v>283</v>
      </c>
      <c r="F89" s="73">
        <v>93286</v>
      </c>
      <c r="G89" s="4"/>
      <c r="H89" s="74" t="s">
        <v>225</v>
      </c>
      <c r="I89" s="63" t="s">
        <v>285</v>
      </c>
    </row>
    <row r="90" spans="5:9" x14ac:dyDescent="0.2">
      <c r="E90" s="63" t="s">
        <v>283</v>
      </c>
      <c r="F90" s="73">
        <v>93280</v>
      </c>
      <c r="G90" s="4"/>
      <c r="H90" s="74" t="s">
        <v>225</v>
      </c>
      <c r="I90" s="63" t="s">
        <v>286</v>
      </c>
    </row>
    <row r="91" spans="5:9" x14ac:dyDescent="0.2">
      <c r="E91" s="63" t="s">
        <v>283</v>
      </c>
      <c r="F91" s="73">
        <v>93281</v>
      </c>
      <c r="G91" s="4"/>
      <c r="H91" s="74" t="s">
        <v>225</v>
      </c>
      <c r="I91" s="63" t="s">
        <v>287</v>
      </c>
    </row>
    <row r="92" spans="5:9" x14ac:dyDescent="0.2">
      <c r="E92" s="63" t="s">
        <v>283</v>
      </c>
      <c r="F92" s="73">
        <v>93283</v>
      </c>
      <c r="G92" s="4"/>
      <c r="H92" s="74" t="s">
        <v>225</v>
      </c>
      <c r="I92" s="63" t="s">
        <v>288</v>
      </c>
    </row>
    <row r="93" spans="5:9" x14ac:dyDescent="0.2">
      <c r="E93" s="63" t="s">
        <v>283</v>
      </c>
      <c r="F93" s="73">
        <v>93278</v>
      </c>
      <c r="G93" s="4"/>
      <c r="H93" s="74" t="s">
        <v>225</v>
      </c>
      <c r="I93" s="63" t="s">
        <v>289</v>
      </c>
    </row>
    <row r="94" spans="5:9" x14ac:dyDescent="0.2">
      <c r="E94" s="63" t="s">
        <v>283</v>
      </c>
      <c r="F94" s="73">
        <v>93279</v>
      </c>
      <c r="G94" s="4"/>
      <c r="H94" s="74" t="s">
        <v>225</v>
      </c>
      <c r="I94" s="63" t="s">
        <v>290</v>
      </c>
    </row>
    <row r="95" spans="5:9" x14ac:dyDescent="0.2">
      <c r="E95" s="63" t="s">
        <v>283</v>
      </c>
      <c r="F95" s="73">
        <v>93289</v>
      </c>
      <c r="G95" s="4"/>
      <c r="H95" s="74" t="s">
        <v>225</v>
      </c>
      <c r="I95" s="4"/>
    </row>
    <row r="96" spans="5:9" x14ac:dyDescent="0.2">
      <c r="E96" s="63" t="s">
        <v>291</v>
      </c>
      <c r="F96" s="4"/>
      <c r="G96" s="4"/>
      <c r="H96" s="74" t="s">
        <v>225</v>
      </c>
      <c r="I96" s="63" t="s">
        <v>294</v>
      </c>
    </row>
    <row r="97" spans="5:9" x14ac:dyDescent="0.2">
      <c r="E97" s="63" t="s">
        <v>292</v>
      </c>
      <c r="F97" s="4">
        <v>37045</v>
      </c>
      <c r="G97" s="4"/>
      <c r="H97" s="74" t="s">
        <v>225</v>
      </c>
      <c r="I97" s="63" t="s">
        <v>294</v>
      </c>
    </row>
    <row r="98" spans="5:9" x14ac:dyDescent="0.2">
      <c r="E98" s="63" t="s">
        <v>292</v>
      </c>
      <c r="F98" s="4">
        <v>7662</v>
      </c>
      <c r="G98" s="4"/>
      <c r="H98" s="74" t="s">
        <v>225</v>
      </c>
      <c r="I98" s="63" t="s">
        <v>295</v>
      </c>
    </row>
    <row r="99" spans="5:9" x14ac:dyDescent="0.2">
      <c r="E99" s="4">
        <v>3650</v>
      </c>
      <c r="F99" s="4">
        <v>62090</v>
      </c>
      <c r="G99" s="4"/>
      <c r="H99" s="74" t="s">
        <v>225</v>
      </c>
      <c r="I99" s="63" t="s">
        <v>295</v>
      </c>
    </row>
    <row r="100" spans="5:9" x14ac:dyDescent="0.2">
      <c r="E100" s="4">
        <v>3650</v>
      </c>
      <c r="F100" s="4">
        <v>62004</v>
      </c>
      <c r="G100" s="4"/>
      <c r="H100" s="74" t="s">
        <v>225</v>
      </c>
      <c r="I100" s="63" t="s">
        <v>295</v>
      </c>
    </row>
    <row r="101" spans="5:9" x14ac:dyDescent="0.2">
      <c r="E101" s="4">
        <v>3600</v>
      </c>
      <c r="F101" s="4">
        <v>52013</v>
      </c>
      <c r="G101" s="4"/>
      <c r="H101" s="74" t="s">
        <v>225</v>
      </c>
      <c r="I101" s="63" t="s">
        <v>295</v>
      </c>
    </row>
    <row r="102" spans="5:9" x14ac:dyDescent="0.2">
      <c r="E102" s="63" t="s">
        <v>293</v>
      </c>
      <c r="F102" s="4">
        <v>8049</v>
      </c>
      <c r="G102" s="4"/>
      <c r="H102" s="74" t="s">
        <v>225</v>
      </c>
      <c r="I102" s="63" t="s">
        <v>295</v>
      </c>
    </row>
    <row r="103" spans="5:9" x14ac:dyDescent="0.2">
      <c r="E103" s="63" t="s">
        <v>293</v>
      </c>
      <c r="F103" s="4">
        <v>49258</v>
      </c>
      <c r="G103" s="4"/>
      <c r="H103" s="74" t="s">
        <v>225</v>
      </c>
      <c r="I103" s="63" t="s">
        <v>294</v>
      </c>
    </row>
    <row r="104" spans="5:9" x14ac:dyDescent="0.2">
      <c r="E104" s="63" t="s">
        <v>296</v>
      </c>
      <c r="F104" s="4">
        <v>130043</v>
      </c>
      <c r="G104" s="4"/>
      <c r="H104" s="74" t="s">
        <v>225</v>
      </c>
      <c r="I104" s="63" t="s">
        <v>299</v>
      </c>
    </row>
    <row r="105" spans="5:9" x14ac:dyDescent="0.2">
      <c r="E105" s="63" t="s">
        <v>297</v>
      </c>
      <c r="F105" s="63" t="s">
        <v>298</v>
      </c>
      <c r="G105" s="4"/>
      <c r="H105" s="74" t="s">
        <v>225</v>
      </c>
      <c r="I105" s="63" t="s">
        <v>301</v>
      </c>
    </row>
    <row r="106" spans="5:9" x14ac:dyDescent="0.2">
      <c r="E106" s="63" t="s">
        <v>300</v>
      </c>
      <c r="F106" s="4"/>
      <c r="G106" s="4"/>
      <c r="H106" s="74" t="s">
        <v>225</v>
      </c>
      <c r="I106" s="4"/>
    </row>
    <row r="107" spans="5:9" x14ac:dyDescent="0.2">
      <c r="E107" s="63" t="s">
        <v>313</v>
      </c>
      <c r="F107" s="4"/>
      <c r="G107" s="4"/>
      <c r="H107" s="74" t="s">
        <v>225</v>
      </c>
      <c r="I107" s="63" t="s">
        <v>302</v>
      </c>
    </row>
    <row r="108" spans="5:9" x14ac:dyDescent="0.2">
      <c r="E108" s="63" t="s">
        <v>314</v>
      </c>
      <c r="F108" s="63" t="s">
        <v>189</v>
      </c>
      <c r="G108" s="4"/>
      <c r="H108" s="74" t="s">
        <v>225</v>
      </c>
      <c r="I108" s="4" t="s">
        <v>302</v>
      </c>
    </row>
    <row r="109" spans="5:9" x14ac:dyDescent="0.2">
      <c r="E109" s="63" t="s">
        <v>314</v>
      </c>
      <c r="F109" s="63" t="s">
        <v>188</v>
      </c>
      <c r="G109" s="4"/>
      <c r="H109" s="74" t="s">
        <v>225</v>
      </c>
      <c r="I109" s="63" t="s">
        <v>303</v>
      </c>
    </row>
    <row r="110" spans="5:9" x14ac:dyDescent="0.2">
      <c r="E110" s="63" t="s">
        <v>314</v>
      </c>
      <c r="F110" s="4">
        <v>24</v>
      </c>
      <c r="G110" s="4"/>
      <c r="H110" s="74" t="s">
        <v>225</v>
      </c>
      <c r="I110" s="63" t="s">
        <v>303</v>
      </c>
    </row>
    <row r="111" spans="5:9" x14ac:dyDescent="0.2">
      <c r="E111" s="63" t="s">
        <v>314</v>
      </c>
      <c r="F111" s="4">
        <v>2</v>
      </c>
      <c r="G111" s="4"/>
      <c r="H111" s="74" t="s">
        <v>225</v>
      </c>
      <c r="I111" s="4" t="s">
        <v>302</v>
      </c>
    </row>
    <row r="112" spans="5:9" x14ac:dyDescent="0.2">
      <c r="E112" s="63" t="s">
        <v>314</v>
      </c>
      <c r="F112" s="63" t="s">
        <v>160</v>
      </c>
      <c r="G112" s="4"/>
      <c r="H112" s="74" t="s">
        <v>225</v>
      </c>
      <c r="I112" s="63" t="s">
        <v>304</v>
      </c>
    </row>
    <row r="113" spans="5:9" x14ac:dyDescent="0.2">
      <c r="E113" s="63" t="s">
        <v>314</v>
      </c>
      <c r="F113" s="4">
        <v>8523</v>
      </c>
      <c r="G113" s="4"/>
      <c r="H113" s="74" t="s">
        <v>225</v>
      </c>
      <c r="I113" s="63" t="s">
        <v>304</v>
      </c>
    </row>
    <row r="114" spans="5:9" x14ac:dyDescent="0.2">
      <c r="E114" s="63" t="s">
        <v>305</v>
      </c>
      <c r="F114" s="4">
        <v>1</v>
      </c>
      <c r="G114" s="4"/>
      <c r="H114" s="74" t="s">
        <v>225</v>
      </c>
      <c r="I114" s="63" t="s">
        <v>304</v>
      </c>
    </row>
    <row r="115" spans="5:9" x14ac:dyDescent="0.2">
      <c r="E115" s="63" t="s">
        <v>305</v>
      </c>
      <c r="F115" s="4">
        <v>5</v>
      </c>
      <c r="G115" s="4"/>
      <c r="H115" s="74" t="s">
        <v>225</v>
      </c>
      <c r="I115" s="63" t="s">
        <v>304</v>
      </c>
    </row>
    <row r="116" spans="5:9" x14ac:dyDescent="0.2">
      <c r="E116" s="63" t="s">
        <v>305</v>
      </c>
      <c r="F116" s="4">
        <v>7</v>
      </c>
      <c r="G116" s="4"/>
      <c r="H116" s="74" t="s">
        <v>225</v>
      </c>
      <c r="I116" s="63" t="s">
        <v>304</v>
      </c>
    </row>
    <row r="117" spans="5:9" x14ac:dyDescent="0.2">
      <c r="E117" s="63" t="s">
        <v>305</v>
      </c>
      <c r="F117" s="4">
        <v>10</v>
      </c>
      <c r="G117" s="4"/>
      <c r="H117" s="74" t="s">
        <v>225</v>
      </c>
      <c r="I117" s="63" t="s">
        <v>304</v>
      </c>
    </row>
    <row r="118" spans="5:9" x14ac:dyDescent="0.2">
      <c r="E118" s="63" t="s">
        <v>305</v>
      </c>
      <c r="F118" s="4">
        <v>11</v>
      </c>
      <c r="G118" s="4"/>
      <c r="H118" s="74" t="s">
        <v>225</v>
      </c>
      <c r="I118" s="63" t="s">
        <v>304</v>
      </c>
    </row>
    <row r="119" spans="5:9" x14ac:dyDescent="0.2">
      <c r="E119" s="63" t="s">
        <v>305</v>
      </c>
      <c r="F119" s="4">
        <v>12</v>
      </c>
      <c r="G119" s="4"/>
      <c r="H119" s="74" t="s">
        <v>225</v>
      </c>
      <c r="I119" s="63" t="s">
        <v>304</v>
      </c>
    </row>
    <row r="120" spans="5:9" x14ac:dyDescent="0.2">
      <c r="E120" s="63" t="s">
        <v>305</v>
      </c>
      <c r="F120" s="4">
        <v>13</v>
      </c>
      <c r="G120" s="4"/>
      <c r="H120" s="74" t="s">
        <v>225</v>
      </c>
      <c r="I120" s="63" t="s">
        <v>304</v>
      </c>
    </row>
    <row r="121" spans="5:9" x14ac:dyDescent="0.2">
      <c r="E121" s="63" t="s">
        <v>305</v>
      </c>
      <c r="F121" s="4">
        <v>14</v>
      </c>
      <c r="G121" s="4"/>
      <c r="H121" s="74" t="s">
        <v>225</v>
      </c>
      <c r="I121" s="63" t="s">
        <v>304</v>
      </c>
    </row>
    <row r="122" spans="5:9" x14ac:dyDescent="0.2">
      <c r="E122" s="63" t="s">
        <v>305</v>
      </c>
      <c r="F122" s="4">
        <v>15</v>
      </c>
      <c r="G122" s="4"/>
      <c r="H122" s="74" t="s">
        <v>225</v>
      </c>
      <c r="I122" s="63" t="s">
        <v>304</v>
      </c>
    </row>
    <row r="123" spans="5:9" x14ac:dyDescent="0.2">
      <c r="E123" s="63" t="s">
        <v>305</v>
      </c>
      <c r="F123" s="4">
        <v>16</v>
      </c>
      <c r="G123" s="4"/>
      <c r="H123" s="74" t="s">
        <v>225</v>
      </c>
      <c r="I123" s="63" t="s">
        <v>304</v>
      </c>
    </row>
    <row r="124" spans="5:9" x14ac:dyDescent="0.2">
      <c r="E124" s="63" t="s">
        <v>306</v>
      </c>
      <c r="F124" s="4">
        <v>21</v>
      </c>
      <c r="G124" s="4"/>
      <c r="H124" s="74" t="s">
        <v>225</v>
      </c>
      <c r="I124" s="63" t="s">
        <v>304</v>
      </c>
    </row>
    <row r="125" spans="5:9" x14ac:dyDescent="0.2">
      <c r="E125" s="63" t="s">
        <v>306</v>
      </c>
      <c r="F125" s="4">
        <v>23</v>
      </c>
      <c r="G125" s="4"/>
      <c r="H125" s="74" t="s">
        <v>225</v>
      </c>
      <c r="I125" s="63" t="s">
        <v>304</v>
      </c>
    </row>
    <row r="126" spans="5:9" x14ac:dyDescent="0.2">
      <c r="E126" s="63" t="s">
        <v>306</v>
      </c>
      <c r="F126" s="4">
        <v>24</v>
      </c>
      <c r="G126" s="4"/>
      <c r="H126" s="74" t="s">
        <v>225</v>
      </c>
      <c r="I126" s="63" t="s">
        <v>304</v>
      </c>
    </row>
    <row r="127" spans="5:9" x14ac:dyDescent="0.2">
      <c r="E127" s="63" t="s">
        <v>306</v>
      </c>
      <c r="F127" s="4">
        <v>25</v>
      </c>
      <c r="G127" s="4"/>
      <c r="H127" s="74" t="s">
        <v>225</v>
      </c>
      <c r="I127" s="63" t="s">
        <v>304</v>
      </c>
    </row>
    <row r="128" spans="5:9" x14ac:dyDescent="0.2">
      <c r="E128" s="63" t="s">
        <v>306</v>
      </c>
      <c r="F128" s="4">
        <v>26</v>
      </c>
      <c r="G128" s="4"/>
      <c r="H128" s="74" t="s">
        <v>225</v>
      </c>
      <c r="I128" s="63" t="s">
        <v>304</v>
      </c>
    </row>
    <row r="129" spans="5:9" x14ac:dyDescent="0.2">
      <c r="E129" s="63" t="s">
        <v>306</v>
      </c>
      <c r="F129" s="4">
        <v>29</v>
      </c>
      <c r="G129" s="4"/>
      <c r="H129" s="74" t="s">
        <v>225</v>
      </c>
      <c r="I129" s="63" t="s">
        <v>304</v>
      </c>
    </row>
    <row r="130" spans="5:9" x14ac:dyDescent="0.2">
      <c r="E130" s="63" t="s">
        <v>306</v>
      </c>
      <c r="F130" s="4">
        <v>30</v>
      </c>
      <c r="G130" s="4"/>
      <c r="H130" s="74" t="s">
        <v>225</v>
      </c>
      <c r="I130" s="63" t="s">
        <v>310</v>
      </c>
    </row>
    <row r="131" spans="5:9" x14ac:dyDescent="0.2">
      <c r="E131" s="63" t="s">
        <v>307</v>
      </c>
      <c r="F131" s="63" t="s">
        <v>308</v>
      </c>
      <c r="G131" s="4"/>
      <c r="H131" s="74" t="s">
        <v>225</v>
      </c>
      <c r="I131" s="63" t="s">
        <v>311</v>
      </c>
    </row>
    <row r="132" spans="5:9" x14ac:dyDescent="0.2">
      <c r="E132" s="63" t="s">
        <v>309</v>
      </c>
      <c r="F132" s="63" t="s">
        <v>31</v>
      </c>
      <c r="G132" s="4"/>
      <c r="H132" s="74" t="s">
        <v>225</v>
      </c>
    </row>
    <row r="133" spans="5:9" x14ac:dyDescent="0.2">
      <c r="E133" s="18" t="s">
        <v>60</v>
      </c>
      <c r="F133" s="18">
        <v>146206</v>
      </c>
      <c r="G133" s="20">
        <v>1</v>
      </c>
      <c r="H133" s="9"/>
      <c r="I133" s="21" t="s">
        <v>362</v>
      </c>
    </row>
    <row r="134" spans="5:9" x14ac:dyDescent="0.2">
      <c r="E134" s="32" t="s">
        <v>186</v>
      </c>
      <c r="F134" s="18">
        <v>162895</v>
      </c>
      <c r="G134" s="20">
        <v>1</v>
      </c>
      <c r="H134" s="9">
        <v>40987</v>
      </c>
      <c r="I134" s="31" t="s">
        <v>362</v>
      </c>
    </row>
    <row r="135" spans="5:9" x14ac:dyDescent="0.2">
      <c r="E135" s="18" t="s">
        <v>75</v>
      </c>
      <c r="F135" s="25">
        <v>97737</v>
      </c>
      <c r="G135" s="23">
        <v>1</v>
      </c>
      <c r="H135" s="22">
        <v>40414</v>
      </c>
      <c r="I135" s="21" t="s">
        <v>158</v>
      </c>
    </row>
    <row r="136" spans="5:9" x14ac:dyDescent="0.2">
      <c r="E136" s="32" t="s">
        <v>363</v>
      </c>
      <c r="F136" s="18">
        <v>1237584</v>
      </c>
      <c r="G136" s="20">
        <v>1</v>
      </c>
      <c r="H136" s="9">
        <v>41053</v>
      </c>
      <c r="I136" s="19" t="s">
        <v>187</v>
      </c>
    </row>
    <row r="137" spans="5:9" x14ac:dyDescent="0.2">
      <c r="E137" s="1"/>
      <c r="F137" s="1"/>
      <c r="G137" s="1"/>
      <c r="H137" s="1"/>
    </row>
    <row r="138" spans="5:9" x14ac:dyDescent="0.2">
      <c r="E138" s="1"/>
      <c r="F138" s="1"/>
      <c r="G138" s="1"/>
      <c r="H138" s="1"/>
    </row>
    <row r="139" spans="5:9" x14ac:dyDescent="0.2">
      <c r="E139" s="1"/>
      <c r="F139" s="1"/>
      <c r="G139" s="1"/>
      <c r="H139" s="1"/>
    </row>
    <row r="140" spans="5:9" x14ac:dyDescent="0.2">
      <c r="E140" s="1"/>
      <c r="F140" s="1"/>
      <c r="G140" s="1"/>
      <c r="H140" s="1"/>
    </row>
    <row r="141" spans="5:9" x14ac:dyDescent="0.2">
      <c r="E141" s="1"/>
      <c r="F141" s="1"/>
      <c r="G141" s="1"/>
      <c r="H141" s="1"/>
    </row>
    <row r="142" spans="5:9" x14ac:dyDescent="0.2">
      <c r="E142" s="1"/>
      <c r="F142" s="1"/>
      <c r="G142" s="1"/>
      <c r="H142" s="1"/>
    </row>
    <row r="143" spans="5:9" x14ac:dyDescent="0.2">
      <c r="E143" s="1"/>
      <c r="F143" s="1"/>
      <c r="G143" s="1"/>
      <c r="H143" s="1"/>
    </row>
    <row r="144" spans="5:9" x14ac:dyDescent="0.2">
      <c r="E144" s="1"/>
      <c r="F144" s="1"/>
      <c r="G144" s="1"/>
      <c r="H144" s="1"/>
    </row>
    <row r="145" spans="5:8" x14ac:dyDescent="0.2">
      <c r="E145" s="1"/>
      <c r="F145" s="1"/>
      <c r="G145" s="1"/>
      <c r="H145" s="1"/>
    </row>
    <row r="146" spans="5:8" x14ac:dyDescent="0.2">
      <c r="E146" s="1"/>
      <c r="F146" s="1"/>
      <c r="G146" s="1"/>
      <c r="H146" s="1"/>
    </row>
    <row r="147" spans="5:8" x14ac:dyDescent="0.2">
      <c r="E147" s="1"/>
      <c r="F147" s="1"/>
      <c r="G147" s="1"/>
      <c r="H147" s="1"/>
    </row>
    <row r="148" spans="5:8" x14ac:dyDescent="0.2">
      <c r="E148" s="1"/>
      <c r="F148" s="1"/>
      <c r="G148" s="1"/>
      <c r="H148" s="1"/>
    </row>
    <row r="149" spans="5:8" x14ac:dyDescent="0.2">
      <c r="E149" s="1"/>
      <c r="F149" s="1"/>
      <c r="G149" s="1"/>
      <c r="H149" s="1"/>
    </row>
    <row r="150" spans="5:8" x14ac:dyDescent="0.2">
      <c r="E150" s="1"/>
      <c r="F150" s="1"/>
      <c r="G150" s="1"/>
      <c r="H150" s="1"/>
    </row>
    <row r="151" spans="5:8" x14ac:dyDescent="0.2">
      <c r="E151" s="1"/>
      <c r="F151" s="1"/>
      <c r="G151" s="1"/>
      <c r="H151" s="1"/>
    </row>
    <row r="152" spans="5:8" x14ac:dyDescent="0.2">
      <c r="E152" s="1"/>
      <c r="F152" s="1"/>
      <c r="G152" s="1"/>
      <c r="H152" s="1"/>
    </row>
    <row r="153" spans="5:8" x14ac:dyDescent="0.2">
      <c r="E153" s="1"/>
      <c r="F153" s="1"/>
      <c r="G153" s="1"/>
      <c r="H153" s="1"/>
    </row>
    <row r="154" spans="5:8" x14ac:dyDescent="0.2">
      <c r="E154" s="1"/>
      <c r="F154" s="1"/>
      <c r="G154" s="1"/>
      <c r="H154" s="1"/>
    </row>
    <row r="155" spans="5:8" x14ac:dyDescent="0.2">
      <c r="E155" s="1"/>
      <c r="F155" s="1"/>
      <c r="G155" s="1"/>
      <c r="H155" s="1"/>
    </row>
    <row r="156" spans="5:8" x14ac:dyDescent="0.2">
      <c r="E156" s="1"/>
      <c r="F156" s="1"/>
      <c r="G156" s="1"/>
      <c r="H156" s="1"/>
    </row>
    <row r="157" spans="5:8" x14ac:dyDescent="0.2">
      <c r="E157" s="1"/>
      <c r="F157" s="1"/>
      <c r="G157" s="1"/>
      <c r="H157" s="1"/>
    </row>
    <row r="158" spans="5:8" x14ac:dyDescent="0.2">
      <c r="E158" s="1"/>
      <c r="F158" s="1"/>
      <c r="G158" s="1"/>
      <c r="H158" s="1"/>
    </row>
    <row r="159" spans="5:8" x14ac:dyDescent="0.2">
      <c r="E159" s="1"/>
      <c r="F159" s="1"/>
      <c r="G159" s="1"/>
      <c r="H159" s="1"/>
    </row>
    <row r="160" spans="5:8" x14ac:dyDescent="0.2">
      <c r="E160" s="1"/>
      <c r="F160" s="1"/>
      <c r="G160" s="1"/>
      <c r="H160" s="1"/>
    </row>
    <row r="161" spans="5:8" x14ac:dyDescent="0.2">
      <c r="E161" s="1"/>
      <c r="F161" s="1"/>
      <c r="G161" s="1"/>
      <c r="H161" s="1"/>
    </row>
  </sheetData>
  <mergeCells count="1">
    <mergeCell ref="E2:H3"/>
  </mergeCells>
  <phoneticPr fontId="3" type="noConversion"/>
  <printOptions horizontalCentered="1" verticalCentered="1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4"/>
  <sheetViews>
    <sheetView workbookViewId="0">
      <selection activeCell="F42" sqref="F42"/>
    </sheetView>
  </sheetViews>
  <sheetFormatPr defaultRowHeight="12.75" x14ac:dyDescent="0.2"/>
  <cols>
    <col min="5" max="5" width="30.140625" customWidth="1"/>
    <col min="6" max="6" width="13" customWidth="1"/>
    <col min="7" max="7" width="14.7109375" customWidth="1"/>
    <col min="8" max="8" width="24" customWidth="1"/>
  </cols>
  <sheetData>
    <row r="1" spans="1:8" x14ac:dyDescent="0.2">
      <c r="A1" s="12">
        <f ca="1">TODAY()</f>
        <v>42508</v>
      </c>
    </row>
    <row r="2" spans="1:8" ht="12.75" customHeight="1" x14ac:dyDescent="0.2">
      <c r="E2" s="136" t="s">
        <v>1</v>
      </c>
      <c r="F2" s="136"/>
      <c r="G2" s="136"/>
      <c r="H2" s="136"/>
    </row>
    <row r="3" spans="1:8" ht="12.75" customHeight="1" x14ac:dyDescent="0.2">
      <c r="E3" s="136"/>
      <c r="F3" s="136"/>
      <c r="G3" s="136"/>
      <c r="H3" s="136"/>
    </row>
    <row r="4" spans="1:8" x14ac:dyDescent="0.2">
      <c r="E4" s="2" t="s">
        <v>0</v>
      </c>
      <c r="F4" s="2" t="s">
        <v>3</v>
      </c>
      <c r="G4" s="2" t="s">
        <v>2</v>
      </c>
      <c r="H4" s="10" t="s">
        <v>15</v>
      </c>
    </row>
    <row r="5" spans="1:8" x14ac:dyDescent="0.2">
      <c r="E5" s="9" t="str">
        <f>'Master List'!A8</f>
        <v>Microsyn 5 Encoder</v>
      </c>
      <c r="F5" s="15">
        <f>'Ref E-List '!F5</f>
        <v>34160</v>
      </c>
      <c r="G5" s="9">
        <f>'Master List'!F8</f>
        <v>42439</v>
      </c>
      <c r="H5" s="9" t="str">
        <f>'Ref E-List '!H5</f>
        <v>Cell 2, Cabinet 5</v>
      </c>
    </row>
    <row r="6" spans="1:8" x14ac:dyDescent="0.2">
      <c r="E6" s="9" t="str">
        <f>'Ref E-List '!E6</f>
        <v>P3500 Strain Indicator</v>
      </c>
      <c r="F6" s="15">
        <f>'Ref E-List '!F6</f>
        <v>10636</v>
      </c>
      <c r="G6" s="9">
        <v>40574</v>
      </c>
      <c r="H6" s="9" t="str">
        <f>'Ref E-List '!H6</f>
        <v>Cell 2, Cabinet 5</v>
      </c>
    </row>
    <row r="7" spans="1:8" x14ac:dyDescent="0.2">
      <c r="E7" s="9" t="str">
        <f>'Ref E-List '!E8</f>
        <v>Starrett Linear Pot Calibrator</v>
      </c>
      <c r="F7" s="15" t="str">
        <f>'Ref E-List '!F8</f>
        <v>CAL-01</v>
      </c>
      <c r="G7" s="9">
        <v>40561</v>
      </c>
      <c r="H7" s="9" t="str">
        <f>'Ref E-List '!H8</f>
        <v>Cell 2, Cabinet 5</v>
      </c>
    </row>
    <row r="8" spans="1:8" x14ac:dyDescent="0.2">
      <c r="E8" s="9" t="str">
        <f>'Ref E-List '!E9</f>
        <v>Ashcroft Dead Weight Tester</v>
      </c>
      <c r="F8" s="15">
        <f>'Ref E-List '!F9</f>
        <v>63818</v>
      </c>
      <c r="G8" s="9">
        <v>39913</v>
      </c>
      <c r="H8" s="9" t="str">
        <f>'Ref E-List '!H9</f>
        <v>Cell 2, Cabinet 5</v>
      </c>
    </row>
    <row r="9" spans="1:8" x14ac:dyDescent="0.2">
      <c r="E9" s="9" t="str">
        <f>'Ref E-List '!E10</f>
        <v>Beowulf 200 K Load Cell</v>
      </c>
      <c r="F9" s="15">
        <f>'Ref E-List '!F10</f>
        <v>2756</v>
      </c>
      <c r="G9" s="9">
        <v>40572</v>
      </c>
      <c r="H9" s="9" t="str">
        <f>'Ref E-List '!H10</f>
        <v>Cell 2, Cabinet 5</v>
      </c>
    </row>
    <row r="10" spans="1:8" x14ac:dyDescent="0.2">
      <c r="E10" s="9" t="str">
        <f>'Ref E-List '!E12</f>
        <v>Lufkin Steel Rule (LVDT &amp; Pot Cal)</v>
      </c>
      <c r="F10" s="15" t="str">
        <f>'Master List'!C6</f>
        <v>M026997</v>
      </c>
      <c r="G10" s="9">
        <v>40221</v>
      </c>
      <c r="H10" s="9" t="str">
        <f>'Ref E-List '!H12</f>
        <v>Cell 2</v>
      </c>
    </row>
    <row r="11" spans="1:8" x14ac:dyDescent="0.2">
      <c r="E11" s="9" t="str">
        <f>'Ref E-List '!E13</f>
        <v>Omega Temperature Meter</v>
      </c>
      <c r="F11" s="15">
        <f>'Ref E-List '!F13</f>
        <v>53001097</v>
      </c>
      <c r="G11" s="9">
        <v>40224</v>
      </c>
      <c r="H11" s="9" t="str">
        <f>'Ref E-List '!H13</f>
        <v>Cell 2, Cabinet 5</v>
      </c>
    </row>
    <row r="12" spans="1:8" x14ac:dyDescent="0.2">
      <c r="E12" s="9" t="str">
        <f>'Ref E-List '!E16</f>
        <v>Starrett 44 Gage Block Set</v>
      </c>
      <c r="F12" s="15" t="str">
        <f>'Ref E-List '!F16</f>
        <v>101480.17</v>
      </c>
      <c r="G12" s="9">
        <f>'Master List'!F11</f>
        <v>42312</v>
      </c>
      <c r="H12" s="9" t="str">
        <f>'Ref E-List '!H16</f>
        <v>Cell 2, Shelf 2</v>
      </c>
    </row>
    <row r="13" spans="1:8" x14ac:dyDescent="0.2">
      <c r="E13" s="9" t="str">
        <f>'Ref E-List '!E17</f>
        <v>Interface 100 K Load Cell</v>
      </c>
      <c r="F13" s="15" t="str">
        <f>'Ref E-List '!F17</f>
        <v>262467A</v>
      </c>
      <c r="G13" s="9">
        <v>40224</v>
      </c>
      <c r="H13" s="9" t="str">
        <f>'Ref E-List '!H17</f>
        <v>Cell 2, Cabinet 5</v>
      </c>
    </row>
    <row r="14" spans="1:8" x14ac:dyDescent="0.2">
      <c r="E14" s="9" t="s">
        <v>85</v>
      </c>
      <c r="F14" s="15" t="s">
        <v>86</v>
      </c>
      <c r="G14" s="9">
        <f>'Master List'!F22</f>
        <v>42199</v>
      </c>
      <c r="H14" s="9" t="s">
        <v>87</v>
      </c>
    </row>
    <row r="15" spans="1:8" x14ac:dyDescent="0.2">
      <c r="E15" s="9" t="s">
        <v>88</v>
      </c>
      <c r="F15" s="15" t="s">
        <v>89</v>
      </c>
      <c r="G15" s="9">
        <f>'Master List'!F21</f>
        <v>41331</v>
      </c>
      <c r="H15" s="9" t="s">
        <v>87</v>
      </c>
    </row>
    <row r="16" spans="1:8" x14ac:dyDescent="0.2">
      <c r="E16" s="9" t="s">
        <v>29</v>
      </c>
      <c r="F16" s="15">
        <v>53001097</v>
      </c>
      <c r="G16" s="9">
        <f>'Master List'!F28</f>
        <v>41038</v>
      </c>
      <c r="H16" s="9" t="s">
        <v>77</v>
      </c>
    </row>
    <row r="17" spans="5:8" x14ac:dyDescent="0.2">
      <c r="E17" s="1"/>
      <c r="F17" s="1"/>
      <c r="G17" s="11"/>
      <c r="H17" s="1"/>
    </row>
    <row r="18" spans="5:8" x14ac:dyDescent="0.2">
      <c r="E18" s="1"/>
      <c r="F18" s="1"/>
      <c r="G18" s="11"/>
      <c r="H18" s="1"/>
    </row>
    <row r="19" spans="5:8" x14ac:dyDescent="0.2">
      <c r="E19" s="1"/>
      <c r="F19" s="1"/>
      <c r="G19" s="11"/>
      <c r="H19" s="1"/>
    </row>
    <row r="20" spans="5:8" x14ac:dyDescent="0.2">
      <c r="E20" s="1"/>
      <c r="F20" s="1"/>
      <c r="G20" s="11"/>
      <c r="H20" s="1"/>
    </row>
    <row r="21" spans="5:8" x14ac:dyDescent="0.2">
      <c r="E21" s="1"/>
      <c r="F21" s="1"/>
      <c r="G21" s="11"/>
      <c r="H21" s="1"/>
    </row>
    <row r="22" spans="5:8" x14ac:dyDescent="0.2">
      <c r="E22" s="1"/>
      <c r="F22" s="1"/>
      <c r="G22" s="11"/>
      <c r="H22" s="1"/>
    </row>
    <row r="23" spans="5:8" x14ac:dyDescent="0.2">
      <c r="E23" s="1"/>
      <c r="F23" s="1"/>
      <c r="G23" s="11"/>
      <c r="H23" s="1"/>
    </row>
    <row r="24" spans="5:8" x14ac:dyDescent="0.2">
      <c r="E24" s="1"/>
      <c r="F24" s="1"/>
      <c r="G24" s="11"/>
      <c r="H24" s="1"/>
    </row>
    <row r="25" spans="5:8" x14ac:dyDescent="0.2">
      <c r="E25" s="1"/>
      <c r="F25" s="1"/>
      <c r="G25" s="11"/>
      <c r="H25" s="1"/>
    </row>
    <row r="26" spans="5:8" x14ac:dyDescent="0.2">
      <c r="E26" s="1"/>
      <c r="F26" s="1"/>
      <c r="G26" s="11"/>
      <c r="H26" s="1"/>
    </row>
    <row r="27" spans="5:8" x14ac:dyDescent="0.2">
      <c r="E27" s="1"/>
      <c r="F27" s="1"/>
      <c r="G27" s="11"/>
      <c r="H27" s="1"/>
    </row>
    <row r="28" spans="5:8" x14ac:dyDescent="0.2">
      <c r="E28" s="1"/>
      <c r="F28" s="1"/>
      <c r="G28" s="11"/>
      <c r="H28" s="1"/>
    </row>
    <row r="29" spans="5:8" x14ac:dyDescent="0.2">
      <c r="E29" s="1"/>
      <c r="F29" s="1"/>
      <c r="G29" s="11"/>
      <c r="H29" s="1"/>
    </row>
    <row r="30" spans="5:8" x14ac:dyDescent="0.2">
      <c r="E30" s="1"/>
      <c r="F30" s="1"/>
      <c r="G30" s="11"/>
      <c r="H30" s="1"/>
    </row>
    <row r="31" spans="5:8" x14ac:dyDescent="0.2">
      <c r="E31" s="1"/>
      <c r="F31" s="1"/>
      <c r="G31" s="11"/>
      <c r="H31" s="1"/>
    </row>
    <row r="32" spans="5:8" x14ac:dyDescent="0.2">
      <c r="E32" s="1"/>
      <c r="F32" s="1"/>
      <c r="G32" s="11"/>
      <c r="H32" s="1"/>
    </row>
    <row r="33" spans="5:8" x14ac:dyDescent="0.2">
      <c r="E33" s="1"/>
      <c r="F33" s="1"/>
      <c r="G33" s="11"/>
      <c r="H33" s="1"/>
    </row>
    <row r="34" spans="5:8" x14ac:dyDescent="0.2">
      <c r="E34" s="1"/>
      <c r="F34" s="1"/>
      <c r="G34" s="11"/>
      <c r="H34" s="1"/>
    </row>
    <row r="35" spans="5:8" x14ac:dyDescent="0.2">
      <c r="E35" s="1"/>
      <c r="F35" s="1"/>
      <c r="G35" s="11"/>
      <c r="H35" s="1"/>
    </row>
    <row r="36" spans="5:8" x14ac:dyDescent="0.2">
      <c r="E36" s="1"/>
      <c r="F36" s="1"/>
      <c r="G36" s="11"/>
      <c r="H36" s="1"/>
    </row>
    <row r="37" spans="5:8" x14ac:dyDescent="0.2">
      <c r="E37" s="1"/>
      <c r="F37" s="1"/>
      <c r="G37" s="11"/>
      <c r="H37" s="1"/>
    </row>
    <row r="38" spans="5:8" x14ac:dyDescent="0.2">
      <c r="E38" s="1"/>
      <c r="F38" s="1"/>
      <c r="G38" s="11"/>
      <c r="H38" s="1"/>
    </row>
    <row r="39" spans="5:8" x14ac:dyDescent="0.2">
      <c r="E39" s="1"/>
      <c r="F39" s="1"/>
      <c r="G39" s="11"/>
      <c r="H39" s="1"/>
    </row>
    <row r="40" spans="5:8" x14ac:dyDescent="0.2">
      <c r="E40" s="1"/>
      <c r="F40" s="1"/>
      <c r="G40" s="11"/>
      <c r="H40" s="1"/>
    </row>
    <row r="41" spans="5:8" x14ac:dyDescent="0.2">
      <c r="E41" s="1"/>
      <c r="F41" s="1"/>
      <c r="G41" s="11"/>
      <c r="H41" s="1"/>
    </row>
    <row r="42" spans="5:8" x14ac:dyDescent="0.2">
      <c r="E42" s="1"/>
      <c r="F42" s="1"/>
      <c r="G42" s="11"/>
      <c r="H42" s="1"/>
    </row>
    <row r="43" spans="5:8" x14ac:dyDescent="0.2">
      <c r="E43" s="1"/>
      <c r="F43" s="1"/>
      <c r="G43" s="11"/>
      <c r="H43" s="1"/>
    </row>
    <row r="44" spans="5:8" x14ac:dyDescent="0.2">
      <c r="E44" s="1"/>
      <c r="F44" s="1"/>
      <c r="G44" s="11"/>
      <c r="H44" s="1"/>
    </row>
  </sheetData>
  <mergeCells count="1">
    <mergeCell ref="E2:H3"/>
  </mergeCells>
  <phoneticPr fontId="3" type="noConversion"/>
  <printOptions horizontalCentered="1" verticalCentered="1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E328"/>
  <sheetViews>
    <sheetView tabSelected="1" topLeftCell="B157" zoomScale="79" zoomScaleNormal="79" zoomScaleSheetLayoutView="85" workbookViewId="0">
      <selection activeCell="I170" sqref="I170"/>
    </sheetView>
  </sheetViews>
  <sheetFormatPr defaultRowHeight="12.75" x14ac:dyDescent="0.2"/>
  <cols>
    <col min="1" max="1" width="51.7109375" bestFit="1" customWidth="1"/>
    <col min="2" max="2" width="41.5703125" customWidth="1"/>
    <col min="3" max="3" width="23.28515625" customWidth="1"/>
    <col min="4" max="4" width="10.28515625" bestFit="1" customWidth="1"/>
    <col min="5" max="5" width="15.7109375" customWidth="1"/>
    <col min="6" max="6" width="25.140625" bestFit="1" customWidth="1"/>
    <col min="7" max="7" width="24.28515625" customWidth="1"/>
    <col min="8" max="8" width="42.28515625" customWidth="1"/>
    <col min="9" max="9" width="56.7109375" customWidth="1"/>
    <col min="10" max="10" width="30.28515625" customWidth="1"/>
    <col min="11" max="12" width="46.5703125" customWidth="1"/>
    <col min="13" max="13" width="10.42578125" customWidth="1"/>
    <col min="24" max="24" width="28.140625" customWidth="1"/>
  </cols>
  <sheetData>
    <row r="1" spans="1:24" x14ac:dyDescent="0.2">
      <c r="A1" s="12">
        <f ca="1">TODAY()</f>
        <v>42508</v>
      </c>
    </row>
    <row r="2" spans="1:24" s="87" customFormat="1" ht="12.75" customHeight="1" x14ac:dyDescent="0.2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8"/>
      <c r="K2" s="139"/>
    </row>
    <row r="3" spans="1:24" s="87" customFormat="1" ht="18" customHeight="1" x14ac:dyDescent="0.2">
      <c r="A3" s="140"/>
      <c r="B3" s="141"/>
      <c r="C3" s="141"/>
      <c r="D3" s="141"/>
      <c r="E3" s="141"/>
      <c r="F3" s="141"/>
      <c r="G3" s="141"/>
      <c r="H3" s="141"/>
      <c r="I3" s="141"/>
      <c r="J3" s="141"/>
      <c r="K3" s="142"/>
    </row>
    <row r="4" spans="1:24" s="87" customFormat="1" ht="18" x14ac:dyDescent="0.2">
      <c r="A4" s="143" t="s">
        <v>47</v>
      </c>
      <c r="B4" s="144"/>
      <c r="C4" s="144"/>
      <c r="D4" s="144"/>
      <c r="E4" s="144"/>
      <c r="F4" s="144"/>
      <c r="G4" s="144"/>
      <c r="H4" s="144"/>
      <c r="I4" s="144"/>
      <c r="J4" s="144"/>
      <c r="K4" s="145"/>
    </row>
    <row r="5" spans="1:24" ht="12.75" customHeight="1" x14ac:dyDescent="0.2">
      <c r="A5" s="81" t="s">
        <v>423</v>
      </c>
      <c r="B5" s="88" t="s">
        <v>422</v>
      </c>
      <c r="C5" s="82" t="s">
        <v>3</v>
      </c>
      <c r="D5" s="82" t="s">
        <v>76</v>
      </c>
      <c r="E5" s="82" t="s">
        <v>420</v>
      </c>
      <c r="F5" s="82" t="s">
        <v>410</v>
      </c>
      <c r="G5" s="83" t="s">
        <v>409</v>
      </c>
      <c r="H5" s="83" t="s">
        <v>15</v>
      </c>
      <c r="I5" s="83" t="s">
        <v>46</v>
      </c>
      <c r="J5" s="95" t="s">
        <v>627</v>
      </c>
      <c r="K5" s="95" t="s">
        <v>475</v>
      </c>
      <c r="L5" s="87"/>
      <c r="M5">
        <v>5</v>
      </c>
    </row>
    <row r="6" spans="1:24" ht="12.75" customHeight="1" x14ac:dyDescent="0.2">
      <c r="A6" s="90" t="s">
        <v>752</v>
      </c>
      <c r="B6" s="90"/>
      <c r="C6" s="90" t="s">
        <v>163</v>
      </c>
      <c r="D6" s="39">
        <v>1</v>
      </c>
      <c r="E6" s="39" t="s">
        <v>421</v>
      </c>
      <c r="F6" s="79">
        <v>42445</v>
      </c>
      <c r="G6" s="79">
        <f>F6+(D6*365)</f>
        <v>42810</v>
      </c>
      <c r="H6" s="125" t="s">
        <v>27</v>
      </c>
      <c r="I6" s="38" t="s">
        <v>769</v>
      </c>
      <c r="J6" s="120" t="s">
        <v>665</v>
      </c>
      <c r="K6" s="1" t="s">
        <v>484</v>
      </c>
      <c r="L6" s="87"/>
      <c r="M6">
        <f>(M5+1)</f>
        <v>6</v>
      </c>
    </row>
    <row r="7" spans="1:24" ht="12.75" customHeight="1" x14ac:dyDescent="0.2">
      <c r="A7" s="90" t="str">
        <f>'Ref E-List '!E16</f>
        <v>Starrett 44 Gage Block Set</v>
      </c>
      <c r="B7" s="90"/>
      <c r="C7" s="90" t="str">
        <f>'Ref E-List '!F16</f>
        <v>101480.17</v>
      </c>
      <c r="D7" s="39">
        <v>3</v>
      </c>
      <c r="E7" s="39" t="s">
        <v>421</v>
      </c>
      <c r="F7" s="79">
        <v>41667</v>
      </c>
      <c r="G7" s="79">
        <f>F7+(D7*365)</f>
        <v>42762</v>
      </c>
      <c r="H7" s="38" t="s">
        <v>413</v>
      </c>
      <c r="I7" s="38" t="s">
        <v>417</v>
      </c>
      <c r="J7" s="120" t="s">
        <v>706</v>
      </c>
      <c r="K7" s="1" t="s">
        <v>484</v>
      </c>
      <c r="L7" s="87"/>
      <c r="O7" s="102"/>
    </row>
    <row r="8" spans="1:24" ht="12.75" customHeight="1" x14ac:dyDescent="0.2">
      <c r="A8" s="90" t="s">
        <v>751</v>
      </c>
      <c r="B8" s="90"/>
      <c r="C8" s="90" t="s">
        <v>124</v>
      </c>
      <c r="D8" s="39">
        <v>1</v>
      </c>
      <c r="E8" s="39" t="s">
        <v>421</v>
      </c>
      <c r="F8" s="79">
        <v>42439</v>
      </c>
      <c r="G8" s="79">
        <f t="shared" ref="G8:G27" si="0">F8+(D8*365)</f>
        <v>42804</v>
      </c>
      <c r="H8" s="125" t="s">
        <v>27</v>
      </c>
      <c r="I8" s="38"/>
      <c r="J8" s="120" t="s">
        <v>639</v>
      </c>
      <c r="K8" s="1" t="s">
        <v>484</v>
      </c>
      <c r="L8" s="87"/>
      <c r="M8">
        <f ca="1">InteriorColor(E33)</f>
        <v>-4142</v>
      </c>
      <c r="O8" s="100"/>
    </row>
    <row r="9" spans="1:24" ht="12.75" customHeight="1" x14ac:dyDescent="0.25">
      <c r="A9" s="90" t="s">
        <v>794</v>
      </c>
      <c r="B9" s="90"/>
      <c r="C9" s="90">
        <v>139128</v>
      </c>
      <c r="D9" s="39">
        <v>1</v>
      </c>
      <c r="E9" s="39" t="s">
        <v>411</v>
      </c>
      <c r="F9" s="79">
        <v>41172</v>
      </c>
      <c r="G9" s="79">
        <f t="shared" si="0"/>
        <v>41537</v>
      </c>
      <c r="H9" s="38" t="s">
        <v>444</v>
      </c>
      <c r="I9" s="38" t="s">
        <v>451</v>
      </c>
      <c r="J9" s="118" t="s">
        <v>630</v>
      </c>
      <c r="K9" s="1" t="s">
        <v>485</v>
      </c>
      <c r="L9" s="87"/>
      <c r="O9" s="101"/>
      <c r="W9" s="122" t="s">
        <v>648</v>
      </c>
    </row>
    <row r="10" spans="1:24" ht="12.75" customHeight="1" x14ac:dyDescent="0.2">
      <c r="A10" s="90" t="s">
        <v>128</v>
      </c>
      <c r="B10" s="90"/>
      <c r="C10" s="90">
        <v>367990</v>
      </c>
      <c r="D10" s="39">
        <v>1</v>
      </c>
      <c r="E10" s="39" t="s">
        <v>421</v>
      </c>
      <c r="F10" s="79">
        <v>42297</v>
      </c>
      <c r="G10" s="79">
        <f t="shared" si="0"/>
        <v>42662</v>
      </c>
      <c r="H10" s="125" t="s">
        <v>27</v>
      </c>
      <c r="I10" s="38" t="s">
        <v>632</v>
      </c>
      <c r="J10" s="118" t="s">
        <v>631</v>
      </c>
      <c r="K10" s="1" t="s">
        <v>484</v>
      </c>
      <c r="L10" s="87"/>
      <c r="O10" s="101"/>
      <c r="X10" s="121" t="s">
        <v>711</v>
      </c>
    </row>
    <row r="11" spans="1:24" ht="12.6" customHeight="1" x14ac:dyDescent="0.2">
      <c r="A11" s="90" t="str">
        <f>'Ref E-List '!E10</f>
        <v>Beowulf 200 K Load Cell</v>
      </c>
      <c r="B11" s="90"/>
      <c r="C11" s="90">
        <f>'Ref E-List '!F10</f>
        <v>2756</v>
      </c>
      <c r="D11" s="39">
        <v>1</v>
      </c>
      <c r="E11" s="39" t="s">
        <v>421</v>
      </c>
      <c r="F11" s="79">
        <v>42312</v>
      </c>
      <c r="G11" s="79">
        <f t="shared" si="0"/>
        <v>42677</v>
      </c>
      <c r="H11" s="125" t="s">
        <v>27</v>
      </c>
      <c r="I11" s="38" t="s">
        <v>632</v>
      </c>
      <c r="J11" s="118" t="s">
        <v>631</v>
      </c>
      <c r="K11" s="1" t="s">
        <v>484</v>
      </c>
      <c r="L11" s="87"/>
      <c r="X11" s="121" t="s">
        <v>649</v>
      </c>
    </row>
    <row r="12" spans="1:24" ht="12.75" customHeight="1" x14ac:dyDescent="0.2">
      <c r="A12" s="90" t="str">
        <f>'Ref E-List '!E17</f>
        <v>Interface 100 K Load Cell</v>
      </c>
      <c r="B12" s="90"/>
      <c r="C12" s="90" t="str">
        <f>'Ref E-List Stats'!F13</f>
        <v>262467A</v>
      </c>
      <c r="D12" s="39">
        <v>1</v>
      </c>
      <c r="E12" s="39" t="s">
        <v>421</v>
      </c>
      <c r="F12" s="79">
        <v>42300</v>
      </c>
      <c r="G12" s="79">
        <f t="shared" si="0"/>
        <v>42665</v>
      </c>
      <c r="H12" s="125" t="s">
        <v>27</v>
      </c>
      <c r="I12" s="38" t="s">
        <v>632</v>
      </c>
      <c r="J12" s="118" t="s">
        <v>631</v>
      </c>
      <c r="K12" s="1" t="s">
        <v>484</v>
      </c>
      <c r="L12" s="87"/>
      <c r="X12" s="121" t="s">
        <v>650</v>
      </c>
    </row>
    <row r="13" spans="1:24" ht="12.75" customHeight="1" x14ac:dyDescent="0.2">
      <c r="A13" s="90" t="s">
        <v>717</v>
      </c>
      <c r="B13" s="90"/>
      <c r="C13" s="90">
        <v>552069</v>
      </c>
      <c r="D13" s="39">
        <v>1</v>
      </c>
      <c r="E13" s="39" t="s">
        <v>421</v>
      </c>
      <c r="F13" s="79">
        <v>42352</v>
      </c>
      <c r="G13" s="79">
        <f t="shared" ref="G13" si="1">F13+(D13*365)</f>
        <v>42717</v>
      </c>
      <c r="H13" s="125" t="s">
        <v>27</v>
      </c>
      <c r="I13" s="38" t="s">
        <v>632</v>
      </c>
      <c r="J13" s="118" t="s">
        <v>718</v>
      </c>
      <c r="K13" s="1" t="s">
        <v>484</v>
      </c>
      <c r="L13" s="87"/>
      <c r="X13" s="121" t="s">
        <v>651</v>
      </c>
    </row>
    <row r="14" spans="1:24" ht="12.75" customHeight="1" x14ac:dyDescent="0.2">
      <c r="A14" s="90" t="s">
        <v>220</v>
      </c>
      <c r="B14" s="90"/>
      <c r="C14" s="90">
        <v>1531</v>
      </c>
      <c r="D14" s="39">
        <v>1</v>
      </c>
      <c r="E14" s="39" t="s">
        <v>421</v>
      </c>
      <c r="F14" s="79">
        <v>42310</v>
      </c>
      <c r="G14" s="79">
        <f t="shared" ref="G14:G15" si="2">F14+(D14*365)</f>
        <v>42675</v>
      </c>
      <c r="H14" s="125" t="s">
        <v>27</v>
      </c>
      <c r="I14" s="38"/>
      <c r="J14" s="118" t="s">
        <v>631</v>
      </c>
      <c r="K14" s="1" t="s">
        <v>484</v>
      </c>
      <c r="L14" s="87"/>
      <c r="X14" s="121" t="s">
        <v>652</v>
      </c>
    </row>
    <row r="15" spans="1:24" ht="12.75" customHeight="1" x14ac:dyDescent="0.2">
      <c r="A15" s="90" t="s">
        <v>219</v>
      </c>
      <c r="B15" s="90"/>
      <c r="C15" s="90">
        <v>20136</v>
      </c>
      <c r="D15" s="39">
        <v>1</v>
      </c>
      <c r="E15" s="39" t="s">
        <v>421</v>
      </c>
      <c r="F15" s="79">
        <v>42307</v>
      </c>
      <c r="G15" s="79">
        <f t="shared" si="2"/>
        <v>42672</v>
      </c>
      <c r="H15" s="125" t="s">
        <v>27</v>
      </c>
      <c r="I15" s="38"/>
      <c r="J15" s="118" t="s">
        <v>631</v>
      </c>
      <c r="K15" s="1" t="s">
        <v>484</v>
      </c>
      <c r="L15" s="87"/>
      <c r="X15" s="121" t="s">
        <v>653</v>
      </c>
    </row>
    <row r="16" spans="1:24" ht="12.75" customHeight="1" x14ac:dyDescent="0.75">
      <c r="A16" s="90" t="str">
        <f>'Ref E-List '!E8</f>
        <v>Starrett Linear Pot Calibrator</v>
      </c>
      <c r="B16" s="90"/>
      <c r="C16" s="90" t="str">
        <f>'Ref E-List '!F8</f>
        <v>CAL-01</v>
      </c>
      <c r="D16" s="39">
        <v>1</v>
      </c>
      <c r="E16" s="39" t="s">
        <v>421</v>
      </c>
      <c r="F16" s="79">
        <v>42381</v>
      </c>
      <c r="G16" s="79">
        <f t="shared" si="0"/>
        <v>42746</v>
      </c>
      <c r="H16" s="125" t="s">
        <v>174</v>
      </c>
      <c r="I16" s="119"/>
      <c r="J16" s="118" t="s">
        <v>639</v>
      </c>
      <c r="K16" s="107" t="s">
        <v>484</v>
      </c>
      <c r="L16" s="87"/>
      <c r="P16" s="94"/>
      <c r="X16" s="121" t="s">
        <v>654</v>
      </c>
    </row>
    <row r="17" spans="1:24" ht="12.75" customHeight="1" x14ac:dyDescent="0.75">
      <c r="A17" s="90" t="s">
        <v>132</v>
      </c>
      <c r="B17" s="90"/>
      <c r="C17" s="90">
        <v>80401789</v>
      </c>
      <c r="D17" s="39">
        <v>1</v>
      </c>
      <c r="E17" s="39" t="s">
        <v>421</v>
      </c>
      <c r="F17" s="79">
        <v>42389</v>
      </c>
      <c r="G17" s="79">
        <f t="shared" si="0"/>
        <v>42754</v>
      </c>
      <c r="H17" s="125" t="s">
        <v>174</v>
      </c>
      <c r="I17" s="38"/>
      <c r="J17" s="120" t="s">
        <v>665</v>
      </c>
      <c r="K17" s="107" t="s">
        <v>484</v>
      </c>
      <c r="L17" s="87"/>
      <c r="P17" s="94"/>
      <c r="X17" s="121" t="s">
        <v>655</v>
      </c>
    </row>
    <row r="18" spans="1:24" ht="12.75" customHeight="1" x14ac:dyDescent="0.75">
      <c r="A18" s="90" t="s">
        <v>492</v>
      </c>
      <c r="B18" s="90"/>
      <c r="C18" s="90" t="s">
        <v>493</v>
      </c>
      <c r="D18" s="39">
        <v>1</v>
      </c>
      <c r="E18" s="39" t="s">
        <v>472</v>
      </c>
      <c r="F18" s="79">
        <v>41388</v>
      </c>
      <c r="G18" s="79">
        <f t="shared" ref="G18" si="3">F18+(D18*365)</f>
        <v>41753</v>
      </c>
      <c r="H18" s="38" t="s">
        <v>413</v>
      </c>
      <c r="I18" s="38" t="s">
        <v>491</v>
      </c>
      <c r="J18" s="120" t="s">
        <v>706</v>
      </c>
      <c r="K18" s="107" t="s">
        <v>472</v>
      </c>
      <c r="L18" s="87"/>
      <c r="P18" s="94"/>
      <c r="X18" s="121" t="s">
        <v>656</v>
      </c>
    </row>
    <row r="19" spans="1:24" ht="12.75" customHeight="1" x14ac:dyDescent="0.75">
      <c r="A19" s="90" t="s">
        <v>666</v>
      </c>
      <c r="B19" s="90"/>
      <c r="C19" s="90">
        <f>'Ref E-List Stats'!F16</f>
        <v>53001097</v>
      </c>
      <c r="D19" s="39">
        <v>2</v>
      </c>
      <c r="E19" s="39" t="s">
        <v>421</v>
      </c>
      <c r="F19" s="79">
        <v>42389</v>
      </c>
      <c r="G19" s="79">
        <f t="shared" si="0"/>
        <v>43119</v>
      </c>
      <c r="H19" s="38" t="s">
        <v>667</v>
      </c>
      <c r="I19" s="38"/>
      <c r="J19" s="118" t="s">
        <v>665</v>
      </c>
      <c r="K19" s="107" t="s">
        <v>484</v>
      </c>
      <c r="L19" s="87"/>
      <c r="P19" s="94"/>
      <c r="X19" s="121" t="s">
        <v>657</v>
      </c>
    </row>
    <row r="20" spans="1:24" ht="12.75" customHeight="1" x14ac:dyDescent="0.75">
      <c r="A20" s="90" t="str">
        <f>'Ref E-List '!E5</f>
        <v>1550A Strain Indicator</v>
      </c>
      <c r="B20" s="90"/>
      <c r="C20" s="90">
        <f>'Ref E-List '!F5</f>
        <v>34160</v>
      </c>
      <c r="D20" s="39">
        <v>1</v>
      </c>
      <c r="E20" s="39" t="s">
        <v>421</v>
      </c>
      <c r="F20" s="79">
        <v>42390</v>
      </c>
      <c r="G20" s="79">
        <f t="shared" si="0"/>
        <v>42755</v>
      </c>
      <c r="H20" s="125" t="s">
        <v>174</v>
      </c>
      <c r="I20" s="38"/>
      <c r="J20" s="120" t="s">
        <v>665</v>
      </c>
      <c r="K20" s="107" t="s">
        <v>484</v>
      </c>
      <c r="P20" s="94"/>
      <c r="X20" s="123" t="s">
        <v>672</v>
      </c>
    </row>
    <row r="21" spans="1:24" ht="12.75" customHeight="1" x14ac:dyDescent="0.75">
      <c r="A21" s="108" t="str">
        <f>'Ref E-List '!E6</f>
        <v>P3500 Strain Indicator</v>
      </c>
      <c r="B21" s="108"/>
      <c r="C21" s="108">
        <f>'Ref E-List '!F6</f>
        <v>10636</v>
      </c>
      <c r="D21" s="109">
        <v>1</v>
      </c>
      <c r="E21" s="109" t="s">
        <v>411</v>
      </c>
      <c r="F21" s="110">
        <v>41331</v>
      </c>
      <c r="G21" s="110">
        <f t="shared" si="0"/>
        <v>41696</v>
      </c>
      <c r="H21" s="111" t="s">
        <v>563</v>
      </c>
      <c r="I21" s="111"/>
      <c r="J21" s="127" t="s">
        <v>706</v>
      </c>
      <c r="K21" s="112" t="s">
        <v>485</v>
      </c>
      <c r="P21" s="94"/>
    </row>
    <row r="22" spans="1:24" ht="12.75" customHeight="1" x14ac:dyDescent="0.75">
      <c r="A22" s="90" t="s">
        <v>85</v>
      </c>
      <c r="B22" s="90"/>
      <c r="C22" s="90" t="s">
        <v>86</v>
      </c>
      <c r="D22" s="39">
        <v>1</v>
      </c>
      <c r="E22" s="39" t="s">
        <v>421</v>
      </c>
      <c r="F22" s="79">
        <v>42199</v>
      </c>
      <c r="G22" s="79">
        <f t="shared" si="0"/>
        <v>42564</v>
      </c>
      <c r="H22" s="38" t="s">
        <v>27</v>
      </c>
      <c r="I22" s="38"/>
      <c r="J22" s="120" t="s">
        <v>707</v>
      </c>
      <c r="K22" s="107" t="s">
        <v>486</v>
      </c>
      <c r="L22" t="s">
        <v>477</v>
      </c>
      <c r="M22" s="85" t="s">
        <v>476</v>
      </c>
      <c r="P22" s="94"/>
    </row>
    <row r="23" spans="1:24" ht="12.75" customHeight="1" x14ac:dyDescent="0.2">
      <c r="A23" s="90" t="s">
        <v>88</v>
      </c>
      <c r="B23" s="90"/>
      <c r="C23" s="90" t="s">
        <v>89</v>
      </c>
      <c r="D23" s="39">
        <v>1</v>
      </c>
      <c r="E23" s="39" t="s">
        <v>421</v>
      </c>
      <c r="F23" s="79">
        <v>42199</v>
      </c>
      <c r="G23" s="79">
        <f t="shared" si="0"/>
        <v>42564</v>
      </c>
      <c r="H23" s="38" t="s">
        <v>27</v>
      </c>
      <c r="I23" s="38"/>
      <c r="J23" s="120" t="s">
        <v>707</v>
      </c>
      <c r="K23" s="107" t="s">
        <v>486</v>
      </c>
      <c r="L23" t="s">
        <v>478</v>
      </c>
      <c r="M23" t="s">
        <v>479</v>
      </c>
    </row>
    <row r="24" spans="1:24" ht="12.75" customHeight="1" x14ac:dyDescent="0.25">
      <c r="A24" s="90" t="s">
        <v>88</v>
      </c>
      <c r="B24" s="90"/>
      <c r="C24" s="90" t="s">
        <v>604</v>
      </c>
      <c r="D24" s="39">
        <v>1</v>
      </c>
      <c r="E24" s="39" t="s">
        <v>421</v>
      </c>
      <c r="F24" s="79">
        <v>42290</v>
      </c>
      <c r="G24" s="79">
        <f t="shared" si="0"/>
        <v>42655</v>
      </c>
      <c r="H24" s="38" t="s">
        <v>27</v>
      </c>
      <c r="I24" s="38"/>
      <c r="J24" s="120" t="s">
        <v>707</v>
      </c>
      <c r="K24" s="107" t="s">
        <v>484</v>
      </c>
      <c r="W24" s="122" t="s">
        <v>658</v>
      </c>
    </row>
    <row r="25" spans="1:24" ht="12.75" customHeight="1" x14ac:dyDescent="0.2">
      <c r="A25" s="90" t="s">
        <v>610</v>
      </c>
      <c r="B25" s="90"/>
      <c r="C25" s="90" t="s">
        <v>763</v>
      </c>
      <c r="D25" s="39">
        <v>1</v>
      </c>
      <c r="E25" s="39" t="s">
        <v>411</v>
      </c>
      <c r="F25" s="79">
        <v>41978</v>
      </c>
      <c r="G25" s="79">
        <f t="shared" si="0"/>
        <v>42343</v>
      </c>
      <c r="H25" s="38" t="s">
        <v>762</v>
      </c>
      <c r="I25" s="38" t="s">
        <v>793</v>
      </c>
      <c r="J25" s="118" t="s">
        <v>622</v>
      </c>
      <c r="K25" s="1" t="s">
        <v>485</v>
      </c>
      <c r="L25" s="97"/>
      <c r="M25" s="80"/>
      <c r="N25" s="80"/>
      <c r="O25" s="80"/>
      <c r="X25" t="s">
        <v>659</v>
      </c>
    </row>
    <row r="26" spans="1:24" ht="12.75" customHeight="1" x14ac:dyDescent="0.2">
      <c r="A26" s="90" t="s">
        <v>610</v>
      </c>
      <c r="B26" s="90"/>
      <c r="C26" s="117" t="s">
        <v>764</v>
      </c>
      <c r="D26" s="39">
        <v>1</v>
      </c>
      <c r="E26" s="39" t="s">
        <v>421</v>
      </c>
      <c r="F26" s="79">
        <v>42437</v>
      </c>
      <c r="G26" s="79">
        <f t="shared" ref="G26" si="4">F26+(D26*365)</f>
        <v>42802</v>
      </c>
      <c r="H26" s="125" t="s">
        <v>729</v>
      </c>
      <c r="I26" s="119"/>
      <c r="J26" s="118" t="s">
        <v>622</v>
      </c>
      <c r="K26" s="1" t="s">
        <v>484</v>
      </c>
      <c r="L26" s="97"/>
      <c r="M26" s="80"/>
      <c r="N26" s="80"/>
      <c r="O26" s="80"/>
    </row>
    <row r="27" spans="1:24" ht="12.6" customHeight="1" x14ac:dyDescent="0.2">
      <c r="A27" s="90" t="s">
        <v>611</v>
      </c>
      <c r="B27" s="90" t="s">
        <v>612</v>
      </c>
      <c r="C27" s="90" t="s">
        <v>613</v>
      </c>
      <c r="D27" s="39">
        <v>1</v>
      </c>
      <c r="E27" s="39" t="s">
        <v>421</v>
      </c>
      <c r="F27" s="79">
        <v>42377</v>
      </c>
      <c r="G27" s="79">
        <f t="shared" si="0"/>
        <v>42742</v>
      </c>
      <c r="H27" s="125" t="s">
        <v>174</v>
      </c>
      <c r="I27" s="119"/>
      <c r="J27" s="120" t="s">
        <v>622</v>
      </c>
      <c r="K27" s="1" t="s">
        <v>484</v>
      </c>
      <c r="L27" s="97"/>
      <c r="M27" s="80"/>
      <c r="N27" s="80"/>
      <c r="O27" s="80"/>
    </row>
    <row r="28" spans="1:24" x14ac:dyDescent="0.2">
      <c r="A28" s="90" t="str">
        <f>'Ref E-List '!E9</f>
        <v>Ashcroft Dead Weight Tester</v>
      </c>
      <c r="B28" s="90"/>
      <c r="C28" s="90">
        <f>'Ref E-List '!F9</f>
        <v>63818</v>
      </c>
      <c r="D28" s="39">
        <v>3</v>
      </c>
      <c r="E28" s="39" t="s">
        <v>472</v>
      </c>
      <c r="F28" s="79">
        <v>41038</v>
      </c>
      <c r="G28" s="79">
        <f>F28+(D28*365)</f>
        <v>42133</v>
      </c>
      <c r="H28" s="38" t="s">
        <v>671</v>
      </c>
      <c r="I28" s="38" t="s">
        <v>670</v>
      </c>
      <c r="J28" s="98"/>
      <c r="K28" s="1" t="s">
        <v>472</v>
      </c>
      <c r="L28" s="80"/>
      <c r="M28" s="80"/>
      <c r="N28" s="80"/>
      <c r="O28" s="80"/>
    </row>
    <row r="29" spans="1:24" ht="15.75" x14ac:dyDescent="0.2">
      <c r="A29" s="81" t="s">
        <v>0</v>
      </c>
      <c r="B29" s="88"/>
      <c r="C29" s="82" t="s">
        <v>3</v>
      </c>
      <c r="D29" s="82" t="s">
        <v>76</v>
      </c>
      <c r="E29" s="82" t="s">
        <v>420</v>
      </c>
      <c r="F29" s="82" t="s">
        <v>410</v>
      </c>
      <c r="G29" s="83" t="s">
        <v>409</v>
      </c>
      <c r="H29" s="83" t="s">
        <v>15</v>
      </c>
      <c r="I29" s="84" t="s">
        <v>46</v>
      </c>
      <c r="J29" s="83" t="s">
        <v>627</v>
      </c>
      <c r="K29" s="83" t="s">
        <v>475</v>
      </c>
      <c r="L29" s="96"/>
      <c r="M29" s="80"/>
      <c r="N29" s="80"/>
      <c r="O29" s="80"/>
    </row>
    <row r="30" spans="1:24" x14ac:dyDescent="0.2">
      <c r="A30" s="90" t="s">
        <v>507</v>
      </c>
      <c r="B30" s="90" t="s">
        <v>506</v>
      </c>
      <c r="C30" s="90" t="s">
        <v>509</v>
      </c>
      <c r="D30" s="39">
        <v>1</v>
      </c>
      <c r="E30" s="39" t="s">
        <v>421</v>
      </c>
      <c r="F30" s="79">
        <v>42173</v>
      </c>
      <c r="G30" s="79">
        <f>F30+(D30*365)</f>
        <v>42538</v>
      </c>
      <c r="H30" s="38" t="s">
        <v>512</v>
      </c>
      <c r="I30" s="38" t="s">
        <v>585</v>
      </c>
      <c r="J30" s="98" t="s">
        <v>424</v>
      </c>
      <c r="K30" s="1" t="s">
        <v>490</v>
      </c>
    </row>
    <row r="31" spans="1:24" x14ac:dyDescent="0.2">
      <c r="A31" s="90" t="s">
        <v>507</v>
      </c>
      <c r="B31" s="90" t="s">
        <v>506</v>
      </c>
      <c r="C31" s="90" t="s">
        <v>511</v>
      </c>
      <c r="D31" s="39">
        <v>1</v>
      </c>
      <c r="E31" s="39" t="s">
        <v>421</v>
      </c>
      <c r="F31" s="79">
        <v>42173</v>
      </c>
      <c r="G31" s="79">
        <f>F31+(D31*365)</f>
        <v>42538</v>
      </c>
      <c r="H31" s="38" t="s">
        <v>512</v>
      </c>
      <c r="I31" s="38" t="s">
        <v>585</v>
      </c>
      <c r="J31" s="98" t="s">
        <v>424</v>
      </c>
      <c r="K31" s="1" t="s">
        <v>490</v>
      </c>
    </row>
    <row r="32" spans="1:24" x14ac:dyDescent="0.2">
      <c r="A32" s="90" t="s">
        <v>508</v>
      </c>
      <c r="B32" s="90" t="s">
        <v>506</v>
      </c>
      <c r="C32" s="90" t="s">
        <v>510</v>
      </c>
      <c r="D32" s="39">
        <v>1</v>
      </c>
      <c r="E32" s="39" t="s">
        <v>421</v>
      </c>
      <c r="F32" s="79">
        <v>42173</v>
      </c>
      <c r="G32" s="79">
        <f>F32+(D32*365)</f>
        <v>42538</v>
      </c>
      <c r="H32" s="38" t="s">
        <v>512</v>
      </c>
      <c r="I32" s="38" t="s">
        <v>585</v>
      </c>
      <c r="J32" s="98" t="s">
        <v>424</v>
      </c>
      <c r="K32" s="1" t="s">
        <v>490</v>
      </c>
    </row>
    <row r="33" spans="1:24" x14ac:dyDescent="0.2">
      <c r="A33" s="90" t="s">
        <v>398</v>
      </c>
      <c r="B33" s="90" t="s">
        <v>442</v>
      </c>
      <c r="C33" s="90" t="s">
        <v>400</v>
      </c>
      <c r="D33" s="39" t="s">
        <v>344</v>
      </c>
      <c r="E33" s="39" t="s">
        <v>411</v>
      </c>
      <c r="F33" s="79" t="s">
        <v>344</v>
      </c>
      <c r="G33" s="79" t="e">
        <f>F33+(D33*365)</f>
        <v>#VALUE!</v>
      </c>
      <c r="H33" s="38" t="s">
        <v>230</v>
      </c>
      <c r="I33" s="38"/>
      <c r="J33" s="98"/>
      <c r="K33" s="1" t="s">
        <v>484</v>
      </c>
    </row>
    <row r="34" spans="1:24" x14ac:dyDescent="0.2">
      <c r="A34" s="90" t="s">
        <v>398</v>
      </c>
      <c r="B34" s="90" t="s">
        <v>442</v>
      </c>
      <c r="C34" s="90" t="s">
        <v>396</v>
      </c>
      <c r="D34" s="39" t="s">
        <v>344</v>
      </c>
      <c r="E34" s="39" t="s">
        <v>411</v>
      </c>
      <c r="F34" s="79" t="s">
        <v>344</v>
      </c>
      <c r="G34" s="79" t="e">
        <f t="shared" ref="G34:G124" si="5">F34+(D34*365)</f>
        <v>#VALUE!</v>
      </c>
      <c r="H34" s="38" t="s">
        <v>230</v>
      </c>
      <c r="I34" s="38"/>
      <c r="J34" s="98"/>
      <c r="K34" s="1" t="s">
        <v>484</v>
      </c>
    </row>
    <row r="35" spans="1:24" x14ac:dyDescent="0.2">
      <c r="A35" s="90" t="s">
        <v>399</v>
      </c>
      <c r="B35" s="90" t="s">
        <v>442</v>
      </c>
      <c r="C35" s="90" t="s">
        <v>397</v>
      </c>
      <c r="D35" s="39" t="s">
        <v>344</v>
      </c>
      <c r="E35" s="39" t="s">
        <v>411</v>
      </c>
      <c r="F35" s="79" t="s">
        <v>344</v>
      </c>
      <c r="G35" s="79" t="e">
        <f t="shared" si="5"/>
        <v>#VALUE!</v>
      </c>
      <c r="H35" s="38" t="s">
        <v>230</v>
      </c>
      <c r="I35" s="38"/>
      <c r="J35" s="98"/>
      <c r="K35" s="1" t="s">
        <v>484</v>
      </c>
    </row>
    <row r="36" spans="1:24" ht="15.75" x14ac:dyDescent="0.25">
      <c r="A36" s="90" t="s">
        <v>345</v>
      </c>
      <c r="B36" s="90" t="s">
        <v>442</v>
      </c>
      <c r="C36" s="90">
        <v>1567313</v>
      </c>
      <c r="D36" s="39" t="s">
        <v>344</v>
      </c>
      <c r="E36" s="39" t="s">
        <v>421</v>
      </c>
      <c r="F36" s="79" t="s">
        <v>344</v>
      </c>
      <c r="G36" s="79" t="e">
        <f t="shared" si="5"/>
        <v>#VALUE!</v>
      </c>
      <c r="H36" s="125" t="s">
        <v>174</v>
      </c>
      <c r="I36" s="38"/>
      <c r="J36" s="98" t="s">
        <v>795</v>
      </c>
      <c r="K36" s="1" t="s">
        <v>484</v>
      </c>
      <c r="L36" s="12"/>
      <c r="N36" s="85"/>
      <c r="W36" s="122" t="s">
        <v>660</v>
      </c>
    </row>
    <row r="37" spans="1:24" x14ac:dyDescent="0.2">
      <c r="A37" s="90" t="s">
        <v>345</v>
      </c>
      <c r="B37" s="90" t="s">
        <v>442</v>
      </c>
      <c r="C37" s="90" t="s">
        <v>346</v>
      </c>
      <c r="D37" s="39" t="s">
        <v>344</v>
      </c>
      <c r="E37" s="39" t="s">
        <v>421</v>
      </c>
      <c r="F37" s="79" t="s">
        <v>344</v>
      </c>
      <c r="G37" s="79" t="e">
        <f t="shared" si="5"/>
        <v>#VALUE!</v>
      </c>
      <c r="H37" s="125" t="s">
        <v>174</v>
      </c>
      <c r="I37" s="38"/>
      <c r="J37" s="98" t="s">
        <v>795</v>
      </c>
      <c r="K37" s="1" t="s">
        <v>484</v>
      </c>
      <c r="L37" s="12"/>
      <c r="N37" s="85"/>
      <c r="X37" s="85" t="s">
        <v>661</v>
      </c>
    </row>
    <row r="38" spans="1:24" x14ac:dyDescent="0.2">
      <c r="A38" s="90" t="s">
        <v>725</v>
      </c>
      <c r="B38" s="90" t="s">
        <v>442</v>
      </c>
      <c r="C38" s="90" t="s">
        <v>726</v>
      </c>
      <c r="D38" s="39" t="s">
        <v>344</v>
      </c>
      <c r="E38" s="39" t="s">
        <v>421</v>
      </c>
      <c r="F38" s="79" t="s">
        <v>344</v>
      </c>
      <c r="G38" s="79" t="e">
        <f t="shared" ref="G38" si="6">F38+(D38*365)</f>
        <v>#VALUE!</v>
      </c>
      <c r="H38" s="125" t="s">
        <v>174</v>
      </c>
      <c r="I38" s="38"/>
      <c r="J38" s="98" t="s">
        <v>795</v>
      </c>
      <c r="K38" s="1" t="s">
        <v>484</v>
      </c>
      <c r="L38" s="12"/>
      <c r="N38" s="85"/>
      <c r="X38" s="85"/>
    </row>
    <row r="39" spans="1:24" x14ac:dyDescent="0.2">
      <c r="A39" s="90" t="s">
        <v>347</v>
      </c>
      <c r="B39" s="90" t="s">
        <v>442</v>
      </c>
      <c r="C39" s="90" t="s">
        <v>348</v>
      </c>
      <c r="D39" s="39" t="s">
        <v>344</v>
      </c>
      <c r="E39" s="39" t="s">
        <v>411</v>
      </c>
      <c r="F39" s="79" t="s">
        <v>344</v>
      </c>
      <c r="G39" s="79" t="e">
        <f t="shared" si="5"/>
        <v>#VALUE!</v>
      </c>
      <c r="H39" s="38" t="s">
        <v>230</v>
      </c>
      <c r="I39" s="38"/>
      <c r="J39" s="98"/>
      <c r="K39" s="1" t="s">
        <v>484</v>
      </c>
      <c r="X39" s="85" t="s">
        <v>662</v>
      </c>
    </row>
    <row r="40" spans="1:24" x14ac:dyDescent="0.2">
      <c r="A40" s="90" t="s">
        <v>347</v>
      </c>
      <c r="B40" s="90" t="s">
        <v>442</v>
      </c>
      <c r="C40" s="90" t="s">
        <v>349</v>
      </c>
      <c r="D40" s="39" t="s">
        <v>344</v>
      </c>
      <c r="E40" s="39" t="s">
        <v>411</v>
      </c>
      <c r="F40" s="79" t="s">
        <v>344</v>
      </c>
      <c r="G40" s="79" t="e">
        <f t="shared" si="5"/>
        <v>#VALUE!</v>
      </c>
      <c r="H40" s="38" t="s">
        <v>230</v>
      </c>
      <c r="I40" s="38"/>
      <c r="J40" s="98"/>
      <c r="K40" s="1" t="s">
        <v>484</v>
      </c>
      <c r="O40" s="85"/>
      <c r="X40" s="85" t="s">
        <v>663</v>
      </c>
    </row>
    <row r="41" spans="1:24" ht="17.25" x14ac:dyDescent="0.25">
      <c r="A41" s="90" t="s">
        <v>347</v>
      </c>
      <c r="B41" s="90" t="s">
        <v>442</v>
      </c>
      <c r="C41" s="90" t="s">
        <v>350</v>
      </c>
      <c r="D41" s="39" t="s">
        <v>344</v>
      </c>
      <c r="E41" s="39" t="s">
        <v>411</v>
      </c>
      <c r="F41" s="79" t="s">
        <v>344</v>
      </c>
      <c r="G41" s="79" t="e">
        <f t="shared" si="5"/>
        <v>#VALUE!</v>
      </c>
      <c r="H41" s="38" t="s">
        <v>230</v>
      </c>
      <c r="I41" s="38"/>
      <c r="J41" s="98"/>
      <c r="K41" s="1" t="s">
        <v>484</v>
      </c>
      <c r="L41" s="12"/>
      <c r="X41" s="128" t="s">
        <v>719</v>
      </c>
    </row>
    <row r="42" spans="1:24" x14ac:dyDescent="0.2">
      <c r="A42" s="90" t="s">
        <v>347</v>
      </c>
      <c r="B42" s="90" t="s">
        <v>442</v>
      </c>
      <c r="C42" s="90" t="s">
        <v>351</v>
      </c>
      <c r="D42" s="39" t="s">
        <v>344</v>
      </c>
      <c r="E42" s="39" t="s">
        <v>411</v>
      </c>
      <c r="F42" s="79" t="s">
        <v>344</v>
      </c>
      <c r="G42" s="79" t="e">
        <f t="shared" si="5"/>
        <v>#VALUE!</v>
      </c>
      <c r="H42" s="38" t="s">
        <v>230</v>
      </c>
      <c r="I42" s="38"/>
      <c r="J42" s="98"/>
      <c r="K42" s="1" t="s">
        <v>484</v>
      </c>
    </row>
    <row r="43" spans="1:24" ht="15.75" x14ac:dyDescent="0.25">
      <c r="A43" s="90" t="s">
        <v>339</v>
      </c>
      <c r="B43" s="90" t="s">
        <v>442</v>
      </c>
      <c r="C43" s="90" t="s">
        <v>341</v>
      </c>
      <c r="D43" s="39" t="s">
        <v>344</v>
      </c>
      <c r="E43" s="39" t="s">
        <v>411</v>
      </c>
      <c r="F43" s="79" t="s">
        <v>344</v>
      </c>
      <c r="G43" s="79" t="e">
        <f t="shared" si="5"/>
        <v>#VALUE!</v>
      </c>
      <c r="H43" s="38" t="s">
        <v>230</v>
      </c>
      <c r="I43" s="38"/>
      <c r="J43" s="98"/>
      <c r="K43" s="1" t="s">
        <v>484</v>
      </c>
      <c r="L43" s="12"/>
      <c r="W43" s="122" t="s">
        <v>698</v>
      </c>
    </row>
    <row r="44" spans="1:24" x14ac:dyDescent="0.2">
      <c r="A44" s="90" t="s">
        <v>339</v>
      </c>
      <c r="B44" s="90" t="s">
        <v>442</v>
      </c>
      <c r="C44" s="90" t="s">
        <v>342</v>
      </c>
      <c r="D44" s="39" t="s">
        <v>344</v>
      </c>
      <c r="E44" s="39" t="s">
        <v>421</v>
      </c>
      <c r="F44" s="79" t="s">
        <v>344</v>
      </c>
      <c r="G44" s="79" t="e">
        <f t="shared" si="5"/>
        <v>#VALUE!</v>
      </c>
      <c r="H44" s="125" t="s">
        <v>174</v>
      </c>
      <c r="I44" s="38"/>
      <c r="J44" s="98" t="s">
        <v>795</v>
      </c>
      <c r="K44" s="1" t="s">
        <v>484</v>
      </c>
      <c r="L44" s="12"/>
      <c r="N44" s="85"/>
      <c r="X44" s="126" t="s">
        <v>703</v>
      </c>
    </row>
    <row r="45" spans="1:24" x14ac:dyDescent="0.2">
      <c r="A45" s="90" t="s">
        <v>339</v>
      </c>
      <c r="B45" s="90" t="s">
        <v>442</v>
      </c>
      <c r="C45" s="90" t="s">
        <v>343</v>
      </c>
      <c r="D45" s="39" t="s">
        <v>344</v>
      </c>
      <c r="E45" s="39" t="s">
        <v>411</v>
      </c>
      <c r="F45" s="79" t="s">
        <v>344</v>
      </c>
      <c r="G45" s="79" t="e">
        <f t="shared" si="5"/>
        <v>#VALUE!</v>
      </c>
      <c r="H45" s="38" t="s">
        <v>230</v>
      </c>
      <c r="I45" s="38"/>
      <c r="J45" s="98"/>
      <c r="K45" s="1" t="s">
        <v>484</v>
      </c>
      <c r="L45" s="89"/>
      <c r="X45" s="85" t="s">
        <v>699</v>
      </c>
    </row>
    <row r="46" spans="1:24" x14ac:dyDescent="0.2">
      <c r="A46" s="90" t="s">
        <v>339</v>
      </c>
      <c r="B46" s="90" t="s">
        <v>442</v>
      </c>
      <c r="C46" s="90" t="s">
        <v>340</v>
      </c>
      <c r="D46" s="39" t="s">
        <v>344</v>
      </c>
      <c r="E46" s="39" t="s">
        <v>411</v>
      </c>
      <c r="F46" s="79" t="s">
        <v>344</v>
      </c>
      <c r="G46" s="79" t="e">
        <f t="shared" si="5"/>
        <v>#VALUE!</v>
      </c>
      <c r="H46" s="38" t="s">
        <v>230</v>
      </c>
      <c r="I46" s="38"/>
      <c r="J46" s="98"/>
      <c r="K46" s="1" t="s">
        <v>484</v>
      </c>
      <c r="L46" s="12"/>
      <c r="X46" s="85" t="s">
        <v>700</v>
      </c>
    </row>
    <row r="47" spans="1:24" x14ac:dyDescent="0.2">
      <c r="A47" s="90" t="s">
        <v>720</v>
      </c>
      <c r="B47" s="90" t="s">
        <v>442</v>
      </c>
      <c r="C47" s="90" t="s">
        <v>721</v>
      </c>
      <c r="D47" s="39" t="s">
        <v>344</v>
      </c>
      <c r="E47" s="39" t="s">
        <v>421</v>
      </c>
      <c r="F47" s="79" t="s">
        <v>344</v>
      </c>
      <c r="G47" s="79" t="e">
        <f t="shared" ref="G47" si="7">F47+(D47*365)</f>
        <v>#VALUE!</v>
      </c>
      <c r="H47" s="125" t="s">
        <v>174</v>
      </c>
      <c r="I47" s="38"/>
      <c r="J47" s="98" t="s">
        <v>795</v>
      </c>
      <c r="K47" s="1" t="s">
        <v>484</v>
      </c>
      <c r="L47" s="12"/>
      <c r="X47" s="85"/>
    </row>
    <row r="48" spans="1:24" x14ac:dyDescent="0.2">
      <c r="A48" s="90" t="s">
        <v>720</v>
      </c>
      <c r="B48" s="90" t="s">
        <v>442</v>
      </c>
      <c r="C48" s="90" t="s">
        <v>722</v>
      </c>
      <c r="D48" s="39" t="s">
        <v>344</v>
      </c>
      <c r="E48" s="39" t="s">
        <v>421</v>
      </c>
      <c r="F48" s="79" t="s">
        <v>344</v>
      </c>
      <c r="G48" s="79" t="e">
        <f t="shared" ref="G48" si="8">F48+(D48*365)</f>
        <v>#VALUE!</v>
      </c>
      <c r="H48" s="125" t="s">
        <v>174</v>
      </c>
      <c r="I48" s="38"/>
      <c r="J48" s="98" t="s">
        <v>795</v>
      </c>
      <c r="K48" s="1" t="s">
        <v>484</v>
      </c>
      <c r="L48" s="12"/>
      <c r="X48" s="85"/>
    </row>
    <row r="49" spans="1:24" x14ac:dyDescent="0.2">
      <c r="A49" s="90" t="s">
        <v>724</v>
      </c>
      <c r="B49" s="90" t="s">
        <v>442</v>
      </c>
      <c r="C49" s="90" t="s">
        <v>315</v>
      </c>
      <c r="D49" s="39">
        <v>1</v>
      </c>
      <c r="E49" s="39" t="s">
        <v>421</v>
      </c>
      <c r="F49" s="79">
        <v>42286</v>
      </c>
      <c r="G49" s="79">
        <f t="shared" si="5"/>
        <v>42651</v>
      </c>
      <c r="H49" s="125" t="s">
        <v>445</v>
      </c>
      <c r="I49" s="38"/>
      <c r="J49" s="98" t="s">
        <v>664</v>
      </c>
      <c r="K49" s="1" t="s">
        <v>484</v>
      </c>
      <c r="L49" s="85"/>
      <c r="X49" s="85" t="s">
        <v>701</v>
      </c>
    </row>
    <row r="50" spans="1:24" x14ac:dyDescent="0.2">
      <c r="A50" s="90" t="s">
        <v>724</v>
      </c>
      <c r="B50" s="90" t="s">
        <v>442</v>
      </c>
      <c r="C50" s="90" t="s">
        <v>327</v>
      </c>
      <c r="D50" s="39">
        <v>1</v>
      </c>
      <c r="E50" s="39" t="s">
        <v>421</v>
      </c>
      <c r="F50" s="79">
        <v>42453</v>
      </c>
      <c r="G50" s="79">
        <f t="shared" si="5"/>
        <v>42818</v>
      </c>
      <c r="H50" s="125" t="s">
        <v>174</v>
      </c>
      <c r="I50" s="38"/>
      <c r="J50" s="98" t="s">
        <v>664</v>
      </c>
      <c r="K50" s="1" t="s">
        <v>484</v>
      </c>
      <c r="L50" s="12"/>
      <c r="X50" s="126" t="s">
        <v>702</v>
      </c>
    </row>
    <row r="51" spans="1:24" x14ac:dyDescent="0.2">
      <c r="A51" s="90" t="s">
        <v>724</v>
      </c>
      <c r="B51" s="90" t="s">
        <v>442</v>
      </c>
      <c r="C51" s="90" t="s">
        <v>336</v>
      </c>
      <c r="D51" s="39">
        <v>1</v>
      </c>
      <c r="E51" s="39" t="s">
        <v>421</v>
      </c>
      <c r="F51" s="79">
        <v>42453</v>
      </c>
      <c r="G51" s="79">
        <f t="shared" si="5"/>
        <v>42818</v>
      </c>
      <c r="H51" s="125" t="s">
        <v>174</v>
      </c>
      <c r="I51" s="38"/>
      <c r="J51" s="98" t="s">
        <v>664</v>
      </c>
      <c r="K51" s="1" t="s">
        <v>484</v>
      </c>
      <c r="X51" t="s">
        <v>683</v>
      </c>
    </row>
    <row r="52" spans="1:24" x14ac:dyDescent="0.2">
      <c r="A52" s="90" t="s">
        <v>724</v>
      </c>
      <c r="B52" s="90" t="s">
        <v>442</v>
      </c>
      <c r="C52" s="90" t="s">
        <v>317</v>
      </c>
      <c r="D52" s="39">
        <v>1</v>
      </c>
      <c r="E52" s="39" t="s">
        <v>421</v>
      </c>
      <c r="F52" s="79">
        <v>42286</v>
      </c>
      <c r="G52" s="79">
        <f t="shared" si="5"/>
        <v>42651</v>
      </c>
      <c r="H52" s="125" t="s">
        <v>445</v>
      </c>
      <c r="I52" s="38"/>
      <c r="J52" s="98" t="s">
        <v>664</v>
      </c>
      <c r="K52" s="1" t="s">
        <v>484</v>
      </c>
      <c r="X52" t="s">
        <v>684</v>
      </c>
    </row>
    <row r="53" spans="1:24" x14ac:dyDescent="0.2">
      <c r="A53" s="90" t="s">
        <v>724</v>
      </c>
      <c r="B53" s="90" t="s">
        <v>442</v>
      </c>
      <c r="C53" s="90" t="s">
        <v>318</v>
      </c>
      <c r="D53" s="39">
        <v>1</v>
      </c>
      <c r="E53" s="39" t="s">
        <v>421</v>
      </c>
      <c r="F53" s="79">
        <v>42368</v>
      </c>
      <c r="G53" s="79">
        <f t="shared" si="5"/>
        <v>42733</v>
      </c>
      <c r="H53" s="125" t="s">
        <v>489</v>
      </c>
      <c r="I53" s="119"/>
      <c r="J53" s="116" t="s">
        <v>664</v>
      </c>
      <c r="K53" s="1" t="s">
        <v>484</v>
      </c>
      <c r="L53" s="12"/>
      <c r="X53" t="s">
        <v>685</v>
      </c>
    </row>
    <row r="54" spans="1:24" x14ac:dyDescent="0.2">
      <c r="A54" s="90" t="s">
        <v>724</v>
      </c>
      <c r="B54" s="90" t="s">
        <v>442</v>
      </c>
      <c r="C54" s="90" t="s">
        <v>319</v>
      </c>
      <c r="D54" s="39">
        <v>1</v>
      </c>
      <c r="E54" s="39" t="s">
        <v>421</v>
      </c>
      <c r="F54" s="79">
        <v>42368</v>
      </c>
      <c r="G54" s="79">
        <f t="shared" si="5"/>
        <v>42733</v>
      </c>
      <c r="H54" s="125" t="s">
        <v>489</v>
      </c>
      <c r="I54" s="119"/>
      <c r="J54" s="116" t="s">
        <v>664</v>
      </c>
      <c r="K54" s="1" t="s">
        <v>484</v>
      </c>
      <c r="L54" s="87"/>
      <c r="M54" s="87"/>
      <c r="N54" s="87"/>
      <c r="O54" s="87"/>
      <c r="X54" t="s">
        <v>686</v>
      </c>
    </row>
    <row r="55" spans="1:24" x14ac:dyDescent="0.2">
      <c r="A55" s="90" t="s">
        <v>724</v>
      </c>
      <c r="B55" s="90" t="s">
        <v>442</v>
      </c>
      <c r="C55" s="90" t="s">
        <v>320</v>
      </c>
      <c r="D55" s="39">
        <v>1</v>
      </c>
      <c r="E55" s="39" t="s">
        <v>421</v>
      </c>
      <c r="F55" s="79">
        <v>42368</v>
      </c>
      <c r="G55" s="79">
        <f t="shared" si="5"/>
        <v>42733</v>
      </c>
      <c r="H55" s="125" t="s">
        <v>489</v>
      </c>
      <c r="I55" s="119"/>
      <c r="J55" s="98" t="s">
        <v>664</v>
      </c>
      <c r="K55" s="1" t="s">
        <v>484</v>
      </c>
      <c r="L55" s="12"/>
    </row>
    <row r="56" spans="1:24" x14ac:dyDescent="0.2">
      <c r="A56" s="90" t="s">
        <v>724</v>
      </c>
      <c r="B56" s="90" t="s">
        <v>442</v>
      </c>
      <c r="C56" s="90" t="s">
        <v>321</v>
      </c>
      <c r="D56" s="39">
        <v>1</v>
      </c>
      <c r="E56" s="39" t="s">
        <v>421</v>
      </c>
      <c r="F56" s="79">
        <v>42368</v>
      </c>
      <c r="G56" s="79">
        <f t="shared" si="5"/>
        <v>42733</v>
      </c>
      <c r="H56" s="125" t="s">
        <v>489</v>
      </c>
      <c r="I56" s="119"/>
      <c r="J56" s="116" t="s">
        <v>664</v>
      </c>
      <c r="K56" s="1" t="s">
        <v>484</v>
      </c>
    </row>
    <row r="57" spans="1:24" x14ac:dyDescent="0.2">
      <c r="A57" s="90" t="s">
        <v>724</v>
      </c>
      <c r="B57" s="90" t="s">
        <v>442</v>
      </c>
      <c r="C57" s="90" t="s">
        <v>322</v>
      </c>
      <c r="D57" s="39">
        <v>1</v>
      </c>
      <c r="E57" s="39" t="s">
        <v>421</v>
      </c>
      <c r="F57" s="79">
        <v>42286</v>
      </c>
      <c r="G57" s="79">
        <f t="shared" si="5"/>
        <v>42651</v>
      </c>
      <c r="H57" s="125" t="s">
        <v>445</v>
      </c>
      <c r="I57" s="38"/>
      <c r="J57" s="98" t="s">
        <v>664</v>
      </c>
      <c r="K57" s="1" t="s">
        <v>484</v>
      </c>
    </row>
    <row r="58" spans="1:24" x14ac:dyDescent="0.2">
      <c r="A58" s="90" t="s">
        <v>724</v>
      </c>
      <c r="B58" s="90" t="s">
        <v>442</v>
      </c>
      <c r="C58" s="90" t="s">
        <v>323</v>
      </c>
      <c r="D58" s="39">
        <v>1</v>
      </c>
      <c r="E58" s="39" t="s">
        <v>421</v>
      </c>
      <c r="F58" s="79">
        <v>42195</v>
      </c>
      <c r="G58" s="79">
        <f t="shared" si="5"/>
        <v>42560</v>
      </c>
      <c r="H58" s="125" t="s">
        <v>600</v>
      </c>
      <c r="I58" s="38"/>
      <c r="J58" s="98" t="s">
        <v>424</v>
      </c>
      <c r="K58" s="1" t="s">
        <v>486</v>
      </c>
    </row>
    <row r="59" spans="1:24" ht="15.75" x14ac:dyDescent="0.25">
      <c r="A59" s="90" t="s">
        <v>724</v>
      </c>
      <c r="B59" s="90" t="s">
        <v>442</v>
      </c>
      <c r="C59" s="90" t="s">
        <v>316</v>
      </c>
      <c r="D59" s="39">
        <v>1</v>
      </c>
      <c r="E59" s="39" t="s">
        <v>421</v>
      </c>
      <c r="F59" s="79">
        <v>42286</v>
      </c>
      <c r="G59" s="79">
        <f t="shared" si="5"/>
        <v>42651</v>
      </c>
      <c r="H59" s="125" t="s">
        <v>445</v>
      </c>
      <c r="I59" s="38"/>
      <c r="J59" s="98" t="s">
        <v>664</v>
      </c>
      <c r="K59" s="1" t="s">
        <v>484</v>
      </c>
      <c r="W59" s="122" t="s">
        <v>768</v>
      </c>
    </row>
    <row r="60" spans="1:24" x14ac:dyDescent="0.2">
      <c r="A60" s="90" t="s">
        <v>724</v>
      </c>
      <c r="B60" s="90" t="s">
        <v>442</v>
      </c>
      <c r="C60" s="90" t="s">
        <v>324</v>
      </c>
      <c r="D60" s="39">
        <v>1</v>
      </c>
      <c r="E60" s="39" t="s">
        <v>421</v>
      </c>
      <c r="F60" s="79">
        <v>42453</v>
      </c>
      <c r="G60" s="79">
        <f t="shared" si="5"/>
        <v>42818</v>
      </c>
      <c r="H60" s="125" t="s">
        <v>174</v>
      </c>
      <c r="I60" s="38"/>
      <c r="J60" s="98" t="s">
        <v>664</v>
      </c>
      <c r="K60" s="1" t="s">
        <v>484</v>
      </c>
      <c r="X60" s="129" t="s">
        <v>766</v>
      </c>
    </row>
    <row r="61" spans="1:24" x14ac:dyDescent="0.2">
      <c r="A61" s="90" t="s">
        <v>724</v>
      </c>
      <c r="B61" s="90" t="s">
        <v>442</v>
      </c>
      <c r="C61" s="90" t="s">
        <v>325</v>
      </c>
      <c r="D61" s="39">
        <v>1</v>
      </c>
      <c r="E61" s="39" t="s">
        <v>421</v>
      </c>
      <c r="F61" s="79">
        <v>42453</v>
      </c>
      <c r="G61" s="79">
        <f t="shared" si="5"/>
        <v>42818</v>
      </c>
      <c r="H61" s="125" t="s">
        <v>174</v>
      </c>
      <c r="I61" s="38"/>
      <c r="J61" s="98" t="s">
        <v>664</v>
      </c>
      <c r="K61" s="1" t="s">
        <v>484</v>
      </c>
      <c r="X61" t="s">
        <v>767</v>
      </c>
    </row>
    <row r="62" spans="1:24" x14ac:dyDescent="0.2">
      <c r="A62" s="90" t="s">
        <v>724</v>
      </c>
      <c r="B62" s="90" t="s">
        <v>442</v>
      </c>
      <c r="C62" s="90" t="s">
        <v>326</v>
      </c>
      <c r="D62" s="39">
        <v>1</v>
      </c>
      <c r="E62" s="39" t="s">
        <v>561</v>
      </c>
      <c r="F62" s="79">
        <v>41930</v>
      </c>
      <c r="G62" s="79">
        <f t="shared" si="5"/>
        <v>42295</v>
      </c>
      <c r="H62" s="125" t="s">
        <v>563</v>
      </c>
      <c r="I62" s="38" t="s">
        <v>638</v>
      </c>
      <c r="J62" s="98"/>
      <c r="K62" s="1" t="s">
        <v>485</v>
      </c>
    </row>
    <row r="63" spans="1:24" x14ac:dyDescent="0.2">
      <c r="A63" s="90" t="s">
        <v>724</v>
      </c>
      <c r="B63" s="90" t="s">
        <v>442</v>
      </c>
      <c r="C63" s="90" t="s">
        <v>328</v>
      </c>
      <c r="D63" s="39">
        <v>1</v>
      </c>
      <c r="E63" s="39" t="s">
        <v>421</v>
      </c>
      <c r="F63" s="79">
        <v>42453</v>
      </c>
      <c r="G63" s="79">
        <f t="shared" si="5"/>
        <v>42818</v>
      </c>
      <c r="H63" s="125" t="s">
        <v>174</v>
      </c>
      <c r="I63" s="38"/>
      <c r="J63" s="98" t="s">
        <v>664</v>
      </c>
      <c r="K63" s="1" t="s">
        <v>484</v>
      </c>
    </row>
    <row r="64" spans="1:24" x14ac:dyDescent="0.2">
      <c r="A64" s="90" t="s">
        <v>724</v>
      </c>
      <c r="B64" s="90" t="s">
        <v>442</v>
      </c>
      <c r="C64" s="90" t="s">
        <v>329</v>
      </c>
      <c r="D64" s="39">
        <v>1</v>
      </c>
      <c r="E64" s="39" t="s">
        <v>421</v>
      </c>
      <c r="F64" s="79">
        <v>42286</v>
      </c>
      <c r="G64" s="79">
        <f t="shared" si="5"/>
        <v>42651</v>
      </c>
      <c r="H64" s="125" t="s">
        <v>174</v>
      </c>
      <c r="I64" s="38"/>
      <c r="J64" s="98" t="s">
        <v>664</v>
      </c>
      <c r="K64" s="1" t="s">
        <v>484</v>
      </c>
    </row>
    <row r="65" spans="1:24" x14ac:dyDescent="0.2">
      <c r="A65" s="90" t="s">
        <v>724</v>
      </c>
      <c r="B65" s="90" t="s">
        <v>442</v>
      </c>
      <c r="C65" s="90" t="s">
        <v>330</v>
      </c>
      <c r="D65" s="39">
        <v>1</v>
      </c>
      <c r="E65" s="39" t="s">
        <v>421</v>
      </c>
      <c r="F65" s="79">
        <v>42195</v>
      </c>
      <c r="G65" s="79">
        <f t="shared" si="5"/>
        <v>42560</v>
      </c>
      <c r="H65" s="125" t="s">
        <v>600</v>
      </c>
      <c r="I65" s="38"/>
      <c r="J65" s="98" t="s">
        <v>664</v>
      </c>
      <c r="K65" s="1" t="s">
        <v>486</v>
      </c>
    </row>
    <row r="66" spans="1:24" ht="15.75" x14ac:dyDescent="0.25">
      <c r="A66" s="90" t="s">
        <v>733</v>
      </c>
      <c r="B66" s="90" t="s">
        <v>442</v>
      </c>
      <c r="C66" s="90" t="s">
        <v>731</v>
      </c>
      <c r="D66" s="39">
        <v>1</v>
      </c>
      <c r="E66" s="39" t="s">
        <v>421</v>
      </c>
      <c r="F66" s="79">
        <v>42195</v>
      </c>
      <c r="G66" s="79">
        <f t="shared" ref="G66" si="9">F66+(D66*365)</f>
        <v>42560</v>
      </c>
      <c r="H66" s="125" t="s">
        <v>729</v>
      </c>
      <c r="I66" s="38" t="s">
        <v>732</v>
      </c>
      <c r="J66" s="98" t="s">
        <v>790</v>
      </c>
      <c r="K66" s="1" t="s">
        <v>486</v>
      </c>
      <c r="W66" s="122" t="s">
        <v>773</v>
      </c>
    </row>
    <row r="67" spans="1:24" x14ac:dyDescent="0.2">
      <c r="A67" s="90" t="s">
        <v>724</v>
      </c>
      <c r="B67" s="90" t="s">
        <v>442</v>
      </c>
      <c r="C67" s="90" t="s">
        <v>614</v>
      </c>
      <c r="D67" s="39">
        <v>1</v>
      </c>
      <c r="E67" s="39" t="s">
        <v>421</v>
      </c>
      <c r="F67" s="79">
        <v>42349</v>
      </c>
      <c r="G67" s="79">
        <f t="shared" si="5"/>
        <v>42714</v>
      </c>
      <c r="H67" s="125" t="s">
        <v>174</v>
      </c>
      <c r="I67" s="38"/>
      <c r="J67" s="98" t="s">
        <v>664</v>
      </c>
      <c r="K67" s="1" t="s">
        <v>484</v>
      </c>
      <c r="X67" s="129" t="s">
        <v>774</v>
      </c>
    </row>
    <row r="68" spans="1:24" x14ac:dyDescent="0.2">
      <c r="A68" s="90" t="s">
        <v>724</v>
      </c>
      <c r="B68" s="90" t="s">
        <v>442</v>
      </c>
      <c r="C68" s="90" t="s">
        <v>615</v>
      </c>
      <c r="D68" s="39">
        <v>1</v>
      </c>
      <c r="E68" s="39" t="s">
        <v>421</v>
      </c>
      <c r="F68" s="79">
        <v>42349</v>
      </c>
      <c r="G68" s="79">
        <f t="shared" si="5"/>
        <v>42714</v>
      </c>
      <c r="H68" s="125" t="s">
        <v>174</v>
      </c>
      <c r="I68" s="38"/>
      <c r="J68" s="98" t="s">
        <v>664</v>
      </c>
      <c r="K68" s="1" t="s">
        <v>484</v>
      </c>
      <c r="X68" t="s">
        <v>776</v>
      </c>
    </row>
    <row r="69" spans="1:24" x14ac:dyDescent="0.2">
      <c r="A69" s="90" t="s">
        <v>724</v>
      </c>
      <c r="B69" s="90" t="s">
        <v>442</v>
      </c>
      <c r="C69" s="90" t="s">
        <v>616</v>
      </c>
      <c r="D69" s="39">
        <v>1</v>
      </c>
      <c r="E69" s="39" t="s">
        <v>421</v>
      </c>
      <c r="F69" s="79">
        <v>42349</v>
      </c>
      <c r="G69" s="79">
        <f t="shared" si="5"/>
        <v>42714</v>
      </c>
      <c r="H69" s="125" t="s">
        <v>174</v>
      </c>
      <c r="I69" s="38"/>
      <c r="J69" s="98" t="s">
        <v>664</v>
      </c>
      <c r="K69" s="1" t="s">
        <v>484</v>
      </c>
      <c r="X69" s="129" t="s">
        <v>775</v>
      </c>
    </row>
    <row r="70" spans="1:24" x14ac:dyDescent="0.2">
      <c r="A70" s="90" t="s">
        <v>500</v>
      </c>
      <c r="B70" s="90" t="s">
        <v>442</v>
      </c>
      <c r="C70" s="90" t="s">
        <v>501</v>
      </c>
      <c r="D70" s="39">
        <v>1</v>
      </c>
      <c r="E70" s="39" t="s">
        <v>421</v>
      </c>
      <c r="F70" s="79">
        <v>42212</v>
      </c>
      <c r="G70" s="79">
        <f t="shared" ref="G70:G71" si="10">F70+(D70*365)</f>
        <v>42577</v>
      </c>
      <c r="H70" s="125" t="s">
        <v>437</v>
      </c>
      <c r="I70" s="38" t="s">
        <v>727</v>
      </c>
      <c r="J70" s="98" t="s">
        <v>697</v>
      </c>
      <c r="K70" s="1" t="s">
        <v>486</v>
      </c>
      <c r="X70" t="s">
        <v>777</v>
      </c>
    </row>
    <row r="71" spans="1:24" x14ac:dyDescent="0.2">
      <c r="A71" s="90" t="s">
        <v>500</v>
      </c>
      <c r="B71" s="90" t="s">
        <v>442</v>
      </c>
      <c r="C71" s="90" t="s">
        <v>502</v>
      </c>
      <c r="D71" s="39">
        <v>1</v>
      </c>
      <c r="E71" s="39" t="s">
        <v>411</v>
      </c>
      <c r="F71" s="79">
        <v>41753</v>
      </c>
      <c r="G71" s="79">
        <f t="shared" si="10"/>
        <v>42118</v>
      </c>
      <c r="H71" s="38" t="s">
        <v>687</v>
      </c>
      <c r="I71" s="38" t="s">
        <v>688</v>
      </c>
      <c r="J71" s="98" t="s">
        <v>698</v>
      </c>
      <c r="K71" s="1" t="s">
        <v>485</v>
      </c>
    </row>
    <row r="72" spans="1:24" x14ac:dyDescent="0.2">
      <c r="A72" s="90" t="s">
        <v>500</v>
      </c>
      <c r="B72" s="90" t="s">
        <v>442</v>
      </c>
      <c r="C72" s="90" t="s">
        <v>689</v>
      </c>
      <c r="D72" s="39">
        <v>1</v>
      </c>
      <c r="E72" s="39" t="s">
        <v>421</v>
      </c>
      <c r="F72" s="79">
        <v>42440</v>
      </c>
      <c r="G72" s="79">
        <f t="shared" ref="G72:G73" si="11">F72+(D72*365)</f>
        <v>42805</v>
      </c>
      <c r="H72" s="125" t="s">
        <v>437</v>
      </c>
      <c r="I72" s="38" t="s">
        <v>728</v>
      </c>
      <c r="J72" s="98" t="s">
        <v>730</v>
      </c>
      <c r="K72" s="1" t="s">
        <v>484</v>
      </c>
    </row>
    <row r="73" spans="1:24" x14ac:dyDescent="0.2">
      <c r="A73" s="90" t="s">
        <v>500</v>
      </c>
      <c r="B73" s="90" t="s">
        <v>442</v>
      </c>
      <c r="C73" s="90" t="s">
        <v>690</v>
      </c>
      <c r="D73" s="39">
        <v>1</v>
      </c>
      <c r="E73" s="39" t="s">
        <v>421</v>
      </c>
      <c r="F73" s="79">
        <v>42440</v>
      </c>
      <c r="G73" s="79">
        <f t="shared" si="11"/>
        <v>42805</v>
      </c>
      <c r="H73" s="125" t="s">
        <v>437</v>
      </c>
      <c r="I73" s="38" t="s">
        <v>728</v>
      </c>
      <c r="J73" s="98" t="s">
        <v>730</v>
      </c>
      <c r="K73" s="1" t="s">
        <v>484</v>
      </c>
    </row>
    <row r="74" spans="1:24" x14ac:dyDescent="0.2">
      <c r="A74" s="90" t="s">
        <v>500</v>
      </c>
      <c r="B74" s="90" t="s">
        <v>442</v>
      </c>
      <c r="C74" s="90" t="s">
        <v>691</v>
      </c>
      <c r="D74" s="39">
        <v>1</v>
      </c>
      <c r="E74" s="39" t="s">
        <v>561</v>
      </c>
      <c r="F74" s="79">
        <v>36891</v>
      </c>
      <c r="G74" s="79">
        <f t="shared" ref="G74:G77" si="12">F74+(D74*365)</f>
        <v>37256</v>
      </c>
      <c r="H74" s="125" t="s">
        <v>174</v>
      </c>
      <c r="I74" s="38" t="s">
        <v>792</v>
      </c>
      <c r="J74" s="98" t="s">
        <v>790</v>
      </c>
      <c r="K74" s="1" t="s">
        <v>485</v>
      </c>
    </row>
    <row r="75" spans="1:24" x14ac:dyDescent="0.2">
      <c r="A75" s="90" t="s">
        <v>500</v>
      </c>
      <c r="B75" s="90" t="s">
        <v>442</v>
      </c>
      <c r="C75" s="90" t="s">
        <v>692</v>
      </c>
      <c r="D75" s="39">
        <v>1</v>
      </c>
      <c r="E75" s="39" t="s">
        <v>561</v>
      </c>
      <c r="F75" s="79">
        <v>36891</v>
      </c>
      <c r="G75" s="79">
        <f t="shared" si="12"/>
        <v>37256</v>
      </c>
      <c r="H75" s="125" t="s">
        <v>729</v>
      </c>
      <c r="I75" s="38" t="s">
        <v>791</v>
      </c>
      <c r="J75" s="98" t="s">
        <v>790</v>
      </c>
      <c r="K75" s="1" t="s">
        <v>485</v>
      </c>
    </row>
    <row r="76" spans="1:24" x14ac:dyDescent="0.2">
      <c r="A76" s="90" t="s">
        <v>695</v>
      </c>
      <c r="B76" s="90" t="s">
        <v>442</v>
      </c>
      <c r="C76" s="90" t="s">
        <v>693</v>
      </c>
      <c r="D76" s="39">
        <v>1</v>
      </c>
      <c r="E76" s="39" t="s">
        <v>421</v>
      </c>
      <c r="F76" s="79">
        <v>42440</v>
      </c>
      <c r="G76" s="79">
        <f t="shared" si="12"/>
        <v>42805</v>
      </c>
      <c r="H76" s="125" t="s">
        <v>437</v>
      </c>
      <c r="I76" s="38" t="s">
        <v>728</v>
      </c>
      <c r="J76" s="98" t="s">
        <v>730</v>
      </c>
      <c r="K76" s="1" t="s">
        <v>484</v>
      </c>
    </row>
    <row r="77" spans="1:24" x14ac:dyDescent="0.2">
      <c r="A77" s="90" t="s">
        <v>695</v>
      </c>
      <c r="B77" s="90" t="s">
        <v>442</v>
      </c>
      <c r="C77" s="90" t="s">
        <v>694</v>
      </c>
      <c r="D77" s="39">
        <v>1</v>
      </c>
      <c r="E77" s="39" t="s">
        <v>472</v>
      </c>
      <c r="F77" s="79">
        <v>36891</v>
      </c>
      <c r="G77" s="79">
        <f t="shared" si="12"/>
        <v>37256</v>
      </c>
      <c r="H77" s="125" t="s">
        <v>151</v>
      </c>
      <c r="I77" s="38" t="s">
        <v>792</v>
      </c>
      <c r="J77" s="98" t="s">
        <v>790</v>
      </c>
      <c r="K77" s="1" t="s">
        <v>472</v>
      </c>
    </row>
    <row r="78" spans="1:24" x14ac:dyDescent="0.2">
      <c r="A78" s="90" t="s">
        <v>541</v>
      </c>
      <c r="B78" s="90" t="s">
        <v>442</v>
      </c>
      <c r="C78" s="90" t="s">
        <v>338</v>
      </c>
      <c r="D78" s="39">
        <v>1</v>
      </c>
      <c r="E78" s="39" t="s">
        <v>411</v>
      </c>
      <c r="F78" s="79">
        <v>41533</v>
      </c>
      <c r="G78" s="79">
        <f t="shared" si="5"/>
        <v>41898</v>
      </c>
      <c r="H78" s="38" t="s">
        <v>445</v>
      </c>
      <c r="I78" s="38" t="s">
        <v>447</v>
      </c>
      <c r="J78" s="98"/>
      <c r="K78" s="1" t="s">
        <v>485</v>
      </c>
    </row>
    <row r="79" spans="1:24" x14ac:dyDescent="0.2">
      <c r="A79" s="90" t="s">
        <v>539</v>
      </c>
      <c r="B79" s="90" t="s">
        <v>442</v>
      </c>
      <c r="C79" s="90" t="s">
        <v>331</v>
      </c>
      <c r="D79" s="39">
        <v>1</v>
      </c>
      <c r="E79" s="39" t="s">
        <v>421</v>
      </c>
      <c r="F79" s="79">
        <v>42233</v>
      </c>
      <c r="G79" s="79">
        <f t="shared" si="5"/>
        <v>42598</v>
      </c>
      <c r="H79" s="125" t="s">
        <v>174</v>
      </c>
      <c r="I79" s="38" t="s">
        <v>540</v>
      </c>
      <c r="J79" s="98"/>
      <c r="K79" s="1" t="s">
        <v>487</v>
      </c>
    </row>
    <row r="80" spans="1:24" x14ac:dyDescent="0.2">
      <c r="A80" s="90" t="s">
        <v>441</v>
      </c>
      <c r="B80" s="90" t="s">
        <v>442</v>
      </c>
      <c r="C80" s="90" t="s">
        <v>332</v>
      </c>
      <c r="D80" s="39" t="s">
        <v>344</v>
      </c>
      <c r="E80" s="39" t="s">
        <v>421</v>
      </c>
      <c r="F80" s="79" t="s">
        <v>344</v>
      </c>
      <c r="G80" s="79" t="e">
        <f t="shared" si="5"/>
        <v>#VALUE!</v>
      </c>
      <c r="H80" s="125" t="s">
        <v>174</v>
      </c>
      <c r="I80" s="38"/>
      <c r="J80" s="116" t="s">
        <v>795</v>
      </c>
      <c r="K80" s="1" t="s">
        <v>484</v>
      </c>
    </row>
    <row r="81" spans="1:11" x14ac:dyDescent="0.2">
      <c r="A81" s="90" t="s">
        <v>441</v>
      </c>
      <c r="B81" s="90" t="s">
        <v>442</v>
      </c>
      <c r="C81" s="90" t="s">
        <v>723</v>
      </c>
      <c r="D81" s="39" t="s">
        <v>344</v>
      </c>
      <c r="E81" s="39" t="s">
        <v>421</v>
      </c>
      <c r="F81" s="79" t="s">
        <v>344</v>
      </c>
      <c r="G81" s="79" t="e">
        <f t="shared" ref="G81" si="13">F81+(D81*365)</f>
        <v>#VALUE!</v>
      </c>
      <c r="H81" s="125" t="s">
        <v>174</v>
      </c>
      <c r="I81" s="38"/>
      <c r="J81" s="116" t="s">
        <v>795</v>
      </c>
      <c r="K81" s="1" t="s">
        <v>484</v>
      </c>
    </row>
    <row r="82" spans="1:11" x14ac:dyDescent="0.2">
      <c r="A82" s="90" t="s">
        <v>441</v>
      </c>
      <c r="B82" s="90" t="s">
        <v>442</v>
      </c>
      <c r="C82" s="90" t="s">
        <v>333</v>
      </c>
      <c r="D82" s="39" t="s">
        <v>344</v>
      </c>
      <c r="E82" s="39" t="s">
        <v>421</v>
      </c>
      <c r="F82" s="79" t="s">
        <v>344</v>
      </c>
      <c r="G82" s="79" t="e">
        <f t="shared" si="5"/>
        <v>#VALUE!</v>
      </c>
      <c r="H82" s="125" t="s">
        <v>174</v>
      </c>
      <c r="I82" s="38"/>
      <c r="J82" s="116" t="s">
        <v>795</v>
      </c>
      <c r="K82" s="1" t="s">
        <v>484</v>
      </c>
    </row>
    <row r="83" spans="1:11" x14ac:dyDescent="0.2">
      <c r="A83" s="90" t="s">
        <v>441</v>
      </c>
      <c r="B83" s="90" t="s">
        <v>442</v>
      </c>
      <c r="C83" s="90" t="s">
        <v>335</v>
      </c>
      <c r="D83" s="39" t="s">
        <v>344</v>
      </c>
      <c r="E83" s="39" t="s">
        <v>421</v>
      </c>
      <c r="F83" s="79" t="s">
        <v>344</v>
      </c>
      <c r="G83" s="79" t="e">
        <f t="shared" si="5"/>
        <v>#VALUE!</v>
      </c>
      <c r="H83" s="125" t="s">
        <v>174</v>
      </c>
      <c r="I83" s="38"/>
      <c r="J83" s="116" t="s">
        <v>795</v>
      </c>
      <c r="K83" s="1" t="s">
        <v>484</v>
      </c>
    </row>
    <row r="84" spans="1:11" x14ac:dyDescent="0.2">
      <c r="A84" s="90" t="s">
        <v>441</v>
      </c>
      <c r="B84" s="90" t="s">
        <v>442</v>
      </c>
      <c r="C84" s="90" t="s">
        <v>334</v>
      </c>
      <c r="D84" s="39" t="s">
        <v>344</v>
      </c>
      <c r="E84" s="39" t="s">
        <v>421</v>
      </c>
      <c r="F84" s="79" t="s">
        <v>344</v>
      </c>
      <c r="G84" s="79" t="e">
        <f t="shared" si="5"/>
        <v>#VALUE!</v>
      </c>
      <c r="H84" s="125" t="s">
        <v>174</v>
      </c>
      <c r="I84" s="38"/>
      <c r="J84" s="116" t="s">
        <v>795</v>
      </c>
      <c r="K84" s="1" t="s">
        <v>484</v>
      </c>
    </row>
    <row r="85" spans="1:11" x14ac:dyDescent="0.2">
      <c r="A85" s="90" t="s">
        <v>74</v>
      </c>
      <c r="B85" s="90" t="s">
        <v>439</v>
      </c>
      <c r="C85" s="90">
        <v>198624</v>
      </c>
      <c r="D85" s="39">
        <v>1</v>
      </c>
      <c r="E85" s="39" t="s">
        <v>411</v>
      </c>
      <c r="F85" s="79">
        <v>40045</v>
      </c>
      <c r="G85" s="79">
        <f t="shared" si="5"/>
        <v>40410</v>
      </c>
      <c r="H85" s="38" t="s">
        <v>230</v>
      </c>
      <c r="I85" s="38"/>
      <c r="J85" s="98"/>
      <c r="K85" s="1" t="s">
        <v>485</v>
      </c>
    </row>
    <row r="86" spans="1:11" x14ac:dyDescent="0.2">
      <c r="A86" s="90" t="s">
        <v>73</v>
      </c>
      <c r="B86" s="90" t="s">
        <v>439</v>
      </c>
      <c r="C86" s="90">
        <v>800038</v>
      </c>
      <c r="D86" s="39">
        <v>1</v>
      </c>
      <c r="E86" s="39" t="s">
        <v>411</v>
      </c>
      <c r="F86" s="79">
        <v>40987</v>
      </c>
      <c r="G86" s="79">
        <f t="shared" si="5"/>
        <v>41352</v>
      </c>
      <c r="H86" s="38" t="s">
        <v>230</v>
      </c>
      <c r="I86" s="38"/>
      <c r="J86" s="98"/>
      <c r="K86" s="1" t="s">
        <v>485</v>
      </c>
    </row>
    <row r="87" spans="1:11" x14ac:dyDescent="0.2">
      <c r="A87" s="90" t="s">
        <v>74</v>
      </c>
      <c r="B87" s="90" t="s">
        <v>439</v>
      </c>
      <c r="C87" s="90">
        <v>172904</v>
      </c>
      <c r="D87" s="39">
        <v>1</v>
      </c>
      <c r="E87" s="39" t="s">
        <v>411</v>
      </c>
      <c r="F87" s="79">
        <v>41424</v>
      </c>
      <c r="G87" s="79">
        <f t="shared" si="5"/>
        <v>41789</v>
      </c>
      <c r="H87" s="38" t="s">
        <v>436</v>
      </c>
      <c r="I87" s="38" t="s">
        <v>440</v>
      </c>
      <c r="J87" s="98"/>
      <c r="K87" s="1" t="s">
        <v>485</v>
      </c>
    </row>
    <row r="88" spans="1:11" x14ac:dyDescent="0.2">
      <c r="A88" s="90" t="s">
        <v>73</v>
      </c>
      <c r="B88" s="90" t="s">
        <v>439</v>
      </c>
      <c r="C88" s="90">
        <v>800102</v>
      </c>
      <c r="D88" s="39">
        <v>1</v>
      </c>
      <c r="E88" s="39" t="s">
        <v>411</v>
      </c>
      <c r="F88" s="79">
        <v>41424</v>
      </c>
      <c r="G88" s="79">
        <f t="shared" si="5"/>
        <v>41789</v>
      </c>
      <c r="H88" s="38" t="s">
        <v>437</v>
      </c>
      <c r="I88" s="38" t="s">
        <v>440</v>
      </c>
      <c r="J88" s="98"/>
      <c r="K88" s="1" t="s">
        <v>485</v>
      </c>
    </row>
    <row r="89" spans="1:11" x14ac:dyDescent="0.2">
      <c r="A89" s="90" t="s">
        <v>101</v>
      </c>
      <c r="B89" s="90" t="s">
        <v>439</v>
      </c>
      <c r="C89" s="90">
        <v>802790</v>
      </c>
      <c r="D89" s="39">
        <v>1</v>
      </c>
      <c r="E89" s="39" t="s">
        <v>411</v>
      </c>
      <c r="F89" s="79">
        <v>40918</v>
      </c>
      <c r="G89" s="79">
        <f t="shared" si="5"/>
        <v>41283</v>
      </c>
      <c r="H89" s="38" t="s">
        <v>230</v>
      </c>
      <c r="I89" s="38"/>
      <c r="J89" s="98"/>
      <c r="K89" s="1" t="s">
        <v>485</v>
      </c>
    </row>
    <row r="90" spans="1:11" x14ac:dyDescent="0.2">
      <c r="A90" s="90" t="s">
        <v>59</v>
      </c>
      <c r="B90" s="90" t="s">
        <v>439</v>
      </c>
      <c r="C90" s="90">
        <v>144009</v>
      </c>
      <c r="D90" s="39">
        <v>1</v>
      </c>
      <c r="E90" s="39" t="s">
        <v>411</v>
      </c>
      <c r="F90" s="79">
        <v>41085</v>
      </c>
      <c r="G90" s="79">
        <f t="shared" si="5"/>
        <v>41450</v>
      </c>
      <c r="H90" s="38" t="s">
        <v>230</v>
      </c>
      <c r="I90" s="38"/>
      <c r="J90" s="98"/>
      <c r="K90" s="1" t="s">
        <v>485</v>
      </c>
    </row>
    <row r="91" spans="1:11" x14ac:dyDescent="0.2">
      <c r="A91" s="90" t="s">
        <v>159</v>
      </c>
      <c r="B91" s="90" t="s">
        <v>439</v>
      </c>
      <c r="C91" s="90">
        <v>146200</v>
      </c>
      <c r="D91" s="39">
        <v>1</v>
      </c>
      <c r="E91" s="39" t="s">
        <v>411</v>
      </c>
      <c r="F91" s="79">
        <v>39251</v>
      </c>
      <c r="G91" s="79">
        <f t="shared" si="5"/>
        <v>39616</v>
      </c>
      <c r="H91" s="38" t="s">
        <v>230</v>
      </c>
      <c r="I91" s="38"/>
      <c r="J91" s="98"/>
      <c r="K91" s="1" t="s">
        <v>485</v>
      </c>
    </row>
    <row r="92" spans="1:11" x14ac:dyDescent="0.2">
      <c r="A92" s="90" t="s">
        <v>62</v>
      </c>
      <c r="B92" s="90" t="s">
        <v>439</v>
      </c>
      <c r="C92" s="90">
        <v>166065</v>
      </c>
      <c r="D92" s="39">
        <v>1</v>
      </c>
      <c r="E92" s="39" t="s">
        <v>411</v>
      </c>
      <c r="F92" s="79">
        <v>39981</v>
      </c>
      <c r="G92" s="79">
        <f t="shared" si="5"/>
        <v>40346</v>
      </c>
      <c r="H92" s="38" t="s">
        <v>230</v>
      </c>
      <c r="I92" s="38"/>
      <c r="J92" s="98"/>
      <c r="K92" s="1" t="s">
        <v>485</v>
      </c>
    </row>
    <row r="93" spans="1:11" x14ac:dyDescent="0.2">
      <c r="A93" s="90" t="s">
        <v>63</v>
      </c>
      <c r="B93" s="90" t="s">
        <v>439</v>
      </c>
      <c r="C93" s="90">
        <v>166066</v>
      </c>
      <c r="D93" s="39">
        <v>1</v>
      </c>
      <c r="E93" s="39" t="s">
        <v>411</v>
      </c>
      <c r="F93" s="79"/>
      <c r="G93" s="79">
        <f t="shared" si="5"/>
        <v>365</v>
      </c>
      <c r="H93" s="38" t="s">
        <v>230</v>
      </c>
      <c r="I93" s="38"/>
      <c r="J93" s="98"/>
      <c r="K93" s="1" t="s">
        <v>485</v>
      </c>
    </row>
    <row r="94" spans="1:11" x14ac:dyDescent="0.2">
      <c r="A94" s="90" t="s">
        <v>64</v>
      </c>
      <c r="B94" s="90" t="s">
        <v>439</v>
      </c>
      <c r="C94" s="90">
        <v>166079</v>
      </c>
      <c r="D94" s="39">
        <v>1</v>
      </c>
      <c r="E94" s="39" t="s">
        <v>411</v>
      </c>
      <c r="F94" s="79"/>
      <c r="G94" s="79">
        <f t="shared" si="5"/>
        <v>365</v>
      </c>
      <c r="H94" s="38" t="s">
        <v>230</v>
      </c>
      <c r="I94" s="38"/>
      <c r="J94" s="98"/>
      <c r="K94" s="1" t="s">
        <v>485</v>
      </c>
    </row>
    <row r="95" spans="1:11" x14ac:dyDescent="0.2">
      <c r="A95" s="90" t="s">
        <v>65</v>
      </c>
      <c r="B95" s="90" t="s">
        <v>439</v>
      </c>
      <c r="C95" s="90">
        <v>166080</v>
      </c>
      <c r="D95" s="39">
        <v>1</v>
      </c>
      <c r="E95" s="39" t="s">
        <v>411</v>
      </c>
      <c r="F95" s="79">
        <v>39603</v>
      </c>
      <c r="G95" s="79">
        <f t="shared" si="5"/>
        <v>39968</v>
      </c>
      <c r="H95" s="38" t="s">
        <v>230</v>
      </c>
      <c r="I95" s="38"/>
      <c r="J95" s="98"/>
      <c r="K95" s="1" t="s">
        <v>485</v>
      </c>
    </row>
    <row r="96" spans="1:11" x14ac:dyDescent="0.2">
      <c r="A96" s="90" t="s">
        <v>216</v>
      </c>
      <c r="B96" s="90" t="s">
        <v>439</v>
      </c>
      <c r="C96" s="90">
        <v>166085</v>
      </c>
      <c r="D96" s="39">
        <v>1</v>
      </c>
      <c r="E96" s="39" t="s">
        <v>411</v>
      </c>
      <c r="F96" s="79">
        <v>40987</v>
      </c>
      <c r="G96" s="79">
        <f t="shared" si="5"/>
        <v>41352</v>
      </c>
      <c r="H96" s="38" t="s">
        <v>230</v>
      </c>
      <c r="I96" s="38"/>
      <c r="J96" s="98"/>
      <c r="K96" s="1" t="s">
        <v>485</v>
      </c>
    </row>
    <row r="97" spans="1:11" x14ac:dyDescent="0.2">
      <c r="A97" s="90" t="s">
        <v>67</v>
      </c>
      <c r="B97" s="90" t="s">
        <v>439</v>
      </c>
      <c r="C97" s="90">
        <v>166088</v>
      </c>
      <c r="D97" s="39">
        <v>1</v>
      </c>
      <c r="E97" s="39" t="s">
        <v>411</v>
      </c>
      <c r="F97" s="79">
        <v>41535</v>
      </c>
      <c r="G97" s="79">
        <f t="shared" si="5"/>
        <v>41900</v>
      </c>
      <c r="H97" s="38" t="s">
        <v>444</v>
      </c>
      <c r="I97" s="38" t="s">
        <v>448</v>
      </c>
      <c r="J97" s="98"/>
      <c r="K97" s="1" t="s">
        <v>485</v>
      </c>
    </row>
    <row r="98" spans="1:11" x14ac:dyDescent="0.2">
      <c r="A98" s="90" t="s">
        <v>68</v>
      </c>
      <c r="B98" s="90" t="s">
        <v>439</v>
      </c>
      <c r="C98" s="90">
        <v>190990</v>
      </c>
      <c r="D98" s="39">
        <v>1</v>
      </c>
      <c r="E98" s="39" t="s">
        <v>411</v>
      </c>
      <c r="F98" s="79"/>
      <c r="G98" s="79"/>
      <c r="H98" s="38"/>
      <c r="I98" s="38"/>
      <c r="J98" s="98"/>
      <c r="K98" s="1" t="s">
        <v>485</v>
      </c>
    </row>
    <row r="99" spans="1:11" x14ac:dyDescent="0.2">
      <c r="A99" s="90" t="s">
        <v>159</v>
      </c>
      <c r="B99" s="90" t="s">
        <v>439</v>
      </c>
      <c r="C99" s="90">
        <v>191034</v>
      </c>
      <c r="D99" s="39">
        <v>1</v>
      </c>
      <c r="E99" s="39" t="s">
        <v>411</v>
      </c>
      <c r="F99" s="79"/>
      <c r="G99" s="79">
        <f t="shared" si="5"/>
        <v>365</v>
      </c>
      <c r="H99" s="38" t="s">
        <v>230</v>
      </c>
      <c r="I99" s="38"/>
      <c r="J99" s="98"/>
      <c r="K99" s="1" t="s">
        <v>485</v>
      </c>
    </row>
    <row r="100" spans="1:11" x14ac:dyDescent="0.2">
      <c r="A100" s="90" t="s">
        <v>69</v>
      </c>
      <c r="B100" s="90" t="s">
        <v>439</v>
      </c>
      <c r="C100" s="90">
        <v>204919</v>
      </c>
      <c r="D100" s="39">
        <v>1</v>
      </c>
      <c r="E100" s="39" t="s">
        <v>411</v>
      </c>
      <c r="F100" s="79">
        <v>41085</v>
      </c>
      <c r="G100" s="79">
        <f t="shared" si="5"/>
        <v>41450</v>
      </c>
      <c r="H100" s="38" t="s">
        <v>230</v>
      </c>
      <c r="I100" s="38"/>
      <c r="J100" s="98"/>
      <c r="K100" s="1" t="s">
        <v>485</v>
      </c>
    </row>
    <row r="101" spans="1:11" x14ac:dyDescent="0.2">
      <c r="A101" s="90" t="s">
        <v>40</v>
      </c>
      <c r="B101" s="90" t="s">
        <v>439</v>
      </c>
      <c r="C101" s="90">
        <v>204922</v>
      </c>
      <c r="D101" s="39">
        <v>1</v>
      </c>
      <c r="E101" s="39" t="s">
        <v>411</v>
      </c>
      <c r="F101" s="79"/>
      <c r="G101" s="79">
        <f t="shared" si="5"/>
        <v>365</v>
      </c>
      <c r="H101" s="38" t="s">
        <v>230</v>
      </c>
      <c r="I101" s="38"/>
      <c r="J101" s="98"/>
      <c r="K101" s="1" t="s">
        <v>485</v>
      </c>
    </row>
    <row r="102" spans="1:11" x14ac:dyDescent="0.2">
      <c r="A102" s="90" t="s">
        <v>70</v>
      </c>
      <c r="B102" s="90" t="s">
        <v>439</v>
      </c>
      <c r="C102" s="90">
        <v>325921</v>
      </c>
      <c r="D102" s="39">
        <v>1</v>
      </c>
      <c r="E102" s="39" t="s">
        <v>411</v>
      </c>
      <c r="F102" s="79">
        <v>40987</v>
      </c>
      <c r="G102" s="79">
        <f t="shared" si="5"/>
        <v>41352</v>
      </c>
      <c r="H102" s="38" t="s">
        <v>230</v>
      </c>
      <c r="I102" s="38"/>
      <c r="J102" s="98"/>
      <c r="K102" s="1" t="s">
        <v>485</v>
      </c>
    </row>
    <row r="103" spans="1:11" x14ac:dyDescent="0.2">
      <c r="A103" s="90" t="s">
        <v>71</v>
      </c>
      <c r="B103" s="90" t="s">
        <v>439</v>
      </c>
      <c r="C103" s="90">
        <v>325920</v>
      </c>
      <c r="D103" s="39">
        <v>1</v>
      </c>
      <c r="E103" s="39" t="s">
        <v>411</v>
      </c>
      <c r="F103" s="79">
        <v>40987</v>
      </c>
      <c r="G103" s="79">
        <f t="shared" si="5"/>
        <v>41352</v>
      </c>
      <c r="H103" s="38" t="s">
        <v>230</v>
      </c>
      <c r="I103" s="38"/>
      <c r="J103" s="98"/>
      <c r="K103" s="1" t="s">
        <v>485</v>
      </c>
    </row>
    <row r="104" spans="1:11" x14ac:dyDescent="0.2">
      <c r="A104" s="90" t="s">
        <v>515</v>
      </c>
      <c r="B104" s="90" t="s">
        <v>514</v>
      </c>
      <c r="C104" s="90" t="s">
        <v>527</v>
      </c>
      <c r="D104" s="39">
        <v>1</v>
      </c>
      <c r="E104" s="39" t="s">
        <v>561</v>
      </c>
      <c r="F104" s="79">
        <v>41799</v>
      </c>
      <c r="G104" s="79">
        <f t="shared" si="5"/>
        <v>42164</v>
      </c>
      <c r="H104" s="38" t="s">
        <v>563</v>
      </c>
      <c r="I104" s="38"/>
      <c r="J104" s="116" t="s">
        <v>435</v>
      </c>
      <c r="K104" s="1" t="s">
        <v>485</v>
      </c>
    </row>
    <row r="105" spans="1:11" x14ac:dyDescent="0.2">
      <c r="A105" s="90" t="s">
        <v>516</v>
      </c>
      <c r="B105" s="90" t="s">
        <v>514</v>
      </c>
      <c r="C105" s="90" t="s">
        <v>528</v>
      </c>
      <c r="D105" s="39">
        <v>1</v>
      </c>
      <c r="E105" s="39" t="s">
        <v>561</v>
      </c>
      <c r="F105" s="79">
        <v>41799</v>
      </c>
      <c r="G105" s="79">
        <f t="shared" si="5"/>
        <v>42164</v>
      </c>
      <c r="H105" s="38" t="s">
        <v>563</v>
      </c>
      <c r="I105" s="38"/>
      <c r="J105" s="116" t="s">
        <v>435</v>
      </c>
      <c r="K105" s="1" t="s">
        <v>485</v>
      </c>
    </row>
    <row r="106" spans="1:11" x14ac:dyDescent="0.2">
      <c r="A106" s="90" t="s">
        <v>517</v>
      </c>
      <c r="B106" s="90" t="s">
        <v>514</v>
      </c>
      <c r="C106" s="90" t="s">
        <v>529</v>
      </c>
      <c r="D106" s="39">
        <v>1</v>
      </c>
      <c r="E106" s="39" t="s">
        <v>561</v>
      </c>
      <c r="F106" s="79">
        <v>41799</v>
      </c>
      <c r="G106" s="79">
        <f t="shared" si="5"/>
        <v>42164</v>
      </c>
      <c r="H106" s="38" t="s">
        <v>563</v>
      </c>
      <c r="I106" s="38"/>
      <c r="J106" s="116" t="s">
        <v>435</v>
      </c>
      <c r="K106" s="1" t="s">
        <v>485</v>
      </c>
    </row>
    <row r="107" spans="1:11" x14ac:dyDescent="0.2">
      <c r="A107" s="90" t="s">
        <v>518</v>
      </c>
      <c r="B107" s="90" t="s">
        <v>514</v>
      </c>
      <c r="C107" s="90" t="s">
        <v>530</v>
      </c>
      <c r="D107" s="39">
        <v>1</v>
      </c>
      <c r="E107" s="39" t="s">
        <v>561</v>
      </c>
      <c r="F107" s="79">
        <v>41799</v>
      </c>
      <c r="G107" s="79">
        <f t="shared" si="5"/>
        <v>42164</v>
      </c>
      <c r="H107" s="38" t="s">
        <v>563</v>
      </c>
      <c r="I107" s="38"/>
      <c r="J107" s="116" t="s">
        <v>435</v>
      </c>
      <c r="K107" s="1" t="s">
        <v>485</v>
      </c>
    </row>
    <row r="108" spans="1:11" x14ac:dyDescent="0.2">
      <c r="A108" s="90" t="s">
        <v>519</v>
      </c>
      <c r="B108" s="90" t="s">
        <v>514</v>
      </c>
      <c r="C108" s="90" t="s">
        <v>531</v>
      </c>
      <c r="D108" s="39">
        <v>1</v>
      </c>
      <c r="E108" s="39" t="s">
        <v>561</v>
      </c>
      <c r="F108" s="79">
        <v>41799</v>
      </c>
      <c r="G108" s="79">
        <f t="shared" si="5"/>
        <v>42164</v>
      </c>
      <c r="H108" s="38" t="s">
        <v>563</v>
      </c>
      <c r="I108" s="38"/>
      <c r="J108" s="116" t="s">
        <v>435</v>
      </c>
      <c r="K108" s="1" t="s">
        <v>485</v>
      </c>
    </row>
    <row r="109" spans="1:11" x14ac:dyDescent="0.2">
      <c r="A109" s="90" t="s">
        <v>520</v>
      </c>
      <c r="B109" s="90" t="s">
        <v>514</v>
      </c>
      <c r="C109" s="90" t="s">
        <v>532</v>
      </c>
      <c r="D109" s="39">
        <v>1</v>
      </c>
      <c r="E109" s="39" t="s">
        <v>561</v>
      </c>
      <c r="F109" s="79">
        <v>41799</v>
      </c>
      <c r="G109" s="79">
        <f t="shared" si="5"/>
        <v>42164</v>
      </c>
      <c r="H109" s="38" t="s">
        <v>563</v>
      </c>
      <c r="I109" s="38"/>
      <c r="J109" s="116" t="s">
        <v>435</v>
      </c>
      <c r="K109" s="1" t="s">
        <v>485</v>
      </c>
    </row>
    <row r="110" spans="1:11" x14ac:dyDescent="0.2">
      <c r="A110" s="90" t="s">
        <v>521</v>
      </c>
      <c r="B110" s="90" t="s">
        <v>514</v>
      </c>
      <c r="C110" s="90" t="s">
        <v>533</v>
      </c>
      <c r="D110" s="39">
        <v>1</v>
      </c>
      <c r="E110" s="39" t="s">
        <v>561</v>
      </c>
      <c r="F110" s="79">
        <v>41799</v>
      </c>
      <c r="G110" s="79">
        <f t="shared" si="5"/>
        <v>42164</v>
      </c>
      <c r="H110" s="38" t="s">
        <v>563</v>
      </c>
      <c r="I110" s="38"/>
      <c r="J110" s="116" t="s">
        <v>435</v>
      </c>
      <c r="K110" s="1" t="s">
        <v>485</v>
      </c>
    </row>
    <row r="111" spans="1:11" x14ac:dyDescent="0.2">
      <c r="A111" s="90" t="s">
        <v>522</v>
      </c>
      <c r="B111" s="90" t="s">
        <v>514</v>
      </c>
      <c r="C111" s="90" t="s">
        <v>534</v>
      </c>
      <c r="D111" s="39">
        <v>1</v>
      </c>
      <c r="E111" s="39" t="s">
        <v>561</v>
      </c>
      <c r="F111" s="79">
        <v>41799</v>
      </c>
      <c r="G111" s="79">
        <f t="shared" si="5"/>
        <v>42164</v>
      </c>
      <c r="H111" s="38" t="s">
        <v>563</v>
      </c>
      <c r="I111" s="38"/>
      <c r="J111" s="116" t="s">
        <v>435</v>
      </c>
      <c r="K111" s="1" t="s">
        <v>485</v>
      </c>
    </row>
    <row r="112" spans="1:11" x14ac:dyDescent="0.2">
      <c r="A112" s="90" t="s">
        <v>523</v>
      </c>
      <c r="B112" s="90" t="s">
        <v>514</v>
      </c>
      <c r="C112" s="90" t="s">
        <v>535</v>
      </c>
      <c r="D112" s="39">
        <v>1</v>
      </c>
      <c r="E112" s="39" t="s">
        <v>561</v>
      </c>
      <c r="F112" s="79">
        <v>41799</v>
      </c>
      <c r="G112" s="79">
        <f t="shared" si="5"/>
        <v>42164</v>
      </c>
      <c r="H112" s="38" t="s">
        <v>563</v>
      </c>
      <c r="I112" s="38"/>
      <c r="J112" s="116" t="s">
        <v>435</v>
      </c>
      <c r="K112" s="1" t="s">
        <v>485</v>
      </c>
    </row>
    <row r="113" spans="1:11" x14ac:dyDescent="0.2">
      <c r="A113" s="90" t="s">
        <v>524</v>
      </c>
      <c r="B113" s="90" t="s">
        <v>514</v>
      </c>
      <c r="C113" s="90" t="s">
        <v>536</v>
      </c>
      <c r="D113" s="39">
        <v>1</v>
      </c>
      <c r="E113" s="39" t="s">
        <v>561</v>
      </c>
      <c r="F113" s="79">
        <v>41799</v>
      </c>
      <c r="G113" s="79">
        <f t="shared" si="5"/>
        <v>42164</v>
      </c>
      <c r="H113" s="38" t="s">
        <v>563</v>
      </c>
      <c r="I113" s="38"/>
      <c r="J113" s="116" t="s">
        <v>435</v>
      </c>
      <c r="K113" s="1" t="s">
        <v>485</v>
      </c>
    </row>
    <row r="114" spans="1:11" x14ac:dyDescent="0.2">
      <c r="A114" s="90" t="s">
        <v>525</v>
      </c>
      <c r="B114" s="90" t="s">
        <v>514</v>
      </c>
      <c r="C114" s="90" t="s">
        <v>537</v>
      </c>
      <c r="D114" s="39">
        <v>1</v>
      </c>
      <c r="E114" s="39" t="s">
        <v>561</v>
      </c>
      <c r="F114" s="79">
        <v>41799</v>
      </c>
      <c r="G114" s="79">
        <f t="shared" si="5"/>
        <v>42164</v>
      </c>
      <c r="H114" s="38" t="s">
        <v>563</v>
      </c>
      <c r="I114" s="38"/>
      <c r="J114" s="116" t="s">
        <v>435</v>
      </c>
      <c r="K114" s="1" t="s">
        <v>485</v>
      </c>
    </row>
    <row r="115" spans="1:11" s="115" customFormat="1" x14ac:dyDescent="0.2">
      <c r="A115" s="90" t="s">
        <v>526</v>
      </c>
      <c r="B115" s="90" t="s">
        <v>514</v>
      </c>
      <c r="C115" s="90" t="s">
        <v>538</v>
      </c>
      <c r="D115" s="39">
        <v>1</v>
      </c>
      <c r="E115" s="39" t="s">
        <v>561</v>
      </c>
      <c r="F115" s="79">
        <v>41799</v>
      </c>
      <c r="G115" s="79">
        <f t="shared" si="5"/>
        <v>42164</v>
      </c>
      <c r="H115" s="38" t="s">
        <v>563</v>
      </c>
      <c r="I115" s="113"/>
      <c r="J115" s="116" t="s">
        <v>435</v>
      </c>
      <c r="K115" s="114" t="s">
        <v>485</v>
      </c>
    </row>
    <row r="116" spans="1:11" x14ac:dyDescent="0.2">
      <c r="A116" s="90" t="s">
        <v>72</v>
      </c>
      <c r="B116" s="90" t="s">
        <v>439</v>
      </c>
      <c r="C116" s="90">
        <v>323078</v>
      </c>
      <c r="D116" s="39">
        <v>1</v>
      </c>
      <c r="E116" s="39" t="s">
        <v>411</v>
      </c>
      <c r="F116" s="79">
        <v>40987</v>
      </c>
      <c r="G116" s="79">
        <f t="shared" si="5"/>
        <v>41352</v>
      </c>
      <c r="H116" s="38" t="s">
        <v>230</v>
      </c>
      <c r="I116" s="38"/>
      <c r="J116" s="98"/>
      <c r="K116" s="1" t="s">
        <v>485</v>
      </c>
    </row>
    <row r="117" spans="1:11" x14ac:dyDescent="0.2">
      <c r="A117" s="90" t="s">
        <v>130</v>
      </c>
      <c r="B117" s="90" t="s">
        <v>439</v>
      </c>
      <c r="C117" s="90">
        <v>190987</v>
      </c>
      <c r="D117" s="39">
        <v>1</v>
      </c>
      <c r="E117" s="39" t="s">
        <v>411</v>
      </c>
      <c r="F117" s="79">
        <v>41085</v>
      </c>
      <c r="G117" s="79">
        <f t="shared" si="5"/>
        <v>41450</v>
      </c>
      <c r="H117" s="38" t="s">
        <v>230</v>
      </c>
      <c r="I117" s="38"/>
      <c r="J117" s="98"/>
      <c r="K117" s="1" t="s">
        <v>485</v>
      </c>
    </row>
    <row r="118" spans="1:11" x14ac:dyDescent="0.2">
      <c r="A118" s="90" t="s">
        <v>152</v>
      </c>
      <c r="B118" s="90"/>
      <c r="C118" s="90">
        <v>3373</v>
      </c>
      <c r="D118" s="39">
        <v>2</v>
      </c>
      <c r="E118" s="39" t="s">
        <v>472</v>
      </c>
      <c r="F118" s="79">
        <v>40744</v>
      </c>
      <c r="G118" s="79">
        <f t="shared" si="5"/>
        <v>41474</v>
      </c>
      <c r="H118" s="38" t="s">
        <v>165</v>
      </c>
      <c r="I118" s="38" t="s">
        <v>496</v>
      </c>
      <c r="J118" s="98" t="s">
        <v>424</v>
      </c>
      <c r="K118" s="1" t="s">
        <v>472</v>
      </c>
    </row>
    <row r="119" spans="1:11" x14ac:dyDescent="0.2">
      <c r="A119" s="90" t="s">
        <v>152</v>
      </c>
      <c r="B119" s="90"/>
      <c r="C119" s="90">
        <v>1381</v>
      </c>
      <c r="D119" s="39">
        <v>2</v>
      </c>
      <c r="E119" s="39" t="s">
        <v>472</v>
      </c>
      <c r="F119" s="79">
        <v>40742</v>
      </c>
      <c r="G119" s="79">
        <f t="shared" si="5"/>
        <v>41472</v>
      </c>
      <c r="H119" s="38" t="s">
        <v>164</v>
      </c>
      <c r="I119" s="38" t="s">
        <v>497</v>
      </c>
      <c r="J119" s="98" t="s">
        <v>424</v>
      </c>
      <c r="K119" s="1" t="s">
        <v>472</v>
      </c>
    </row>
    <row r="120" spans="1:11" x14ac:dyDescent="0.2">
      <c r="A120" s="90" t="s">
        <v>191</v>
      </c>
      <c r="B120" s="90"/>
      <c r="C120" s="90">
        <v>254</v>
      </c>
      <c r="D120" s="39">
        <v>2</v>
      </c>
      <c r="E120" s="39" t="s">
        <v>411</v>
      </c>
      <c r="F120" s="79">
        <v>41017</v>
      </c>
      <c r="G120" s="79">
        <f t="shared" si="5"/>
        <v>41747</v>
      </c>
      <c r="H120" s="38" t="s">
        <v>413</v>
      </c>
      <c r="I120" s="38" t="s">
        <v>417</v>
      </c>
      <c r="J120" s="98"/>
      <c r="K120" s="1" t="s">
        <v>485</v>
      </c>
    </row>
    <row r="121" spans="1:11" x14ac:dyDescent="0.2">
      <c r="A121" s="90" t="s">
        <v>150</v>
      </c>
      <c r="B121" s="90"/>
      <c r="C121" s="90">
        <v>114068</v>
      </c>
      <c r="D121" s="39">
        <v>2</v>
      </c>
      <c r="E121" s="39" t="s">
        <v>472</v>
      </c>
      <c r="F121" s="79">
        <v>40738</v>
      </c>
      <c r="G121" s="79">
        <f t="shared" si="5"/>
        <v>41468</v>
      </c>
      <c r="H121" s="38" t="s">
        <v>151</v>
      </c>
      <c r="I121" s="38" t="s">
        <v>497</v>
      </c>
      <c r="J121" s="98" t="s">
        <v>424</v>
      </c>
      <c r="K121" s="1" t="s">
        <v>472</v>
      </c>
    </row>
    <row r="122" spans="1:11" x14ac:dyDescent="0.2">
      <c r="A122" s="90" t="s">
        <v>150</v>
      </c>
      <c r="B122" s="90"/>
      <c r="C122" s="90">
        <v>114071</v>
      </c>
      <c r="D122" s="39">
        <v>2</v>
      </c>
      <c r="E122" s="39" t="s">
        <v>472</v>
      </c>
      <c r="F122" s="79">
        <v>40784</v>
      </c>
      <c r="G122" s="79">
        <f t="shared" si="5"/>
        <v>41514</v>
      </c>
      <c r="H122" s="38" t="s">
        <v>153</v>
      </c>
      <c r="I122" s="38" t="s">
        <v>496</v>
      </c>
      <c r="J122" s="98" t="s">
        <v>424</v>
      </c>
      <c r="K122" s="1" t="s">
        <v>472</v>
      </c>
    </row>
    <row r="123" spans="1:11" x14ac:dyDescent="0.2">
      <c r="A123" s="90" t="s">
        <v>150</v>
      </c>
      <c r="B123" s="90"/>
      <c r="C123" s="90">
        <v>114070</v>
      </c>
      <c r="D123" s="39">
        <v>2</v>
      </c>
      <c r="E123" s="39" t="s">
        <v>472</v>
      </c>
      <c r="F123" s="79">
        <v>40738</v>
      </c>
      <c r="G123" s="79">
        <f t="shared" si="5"/>
        <v>41468</v>
      </c>
      <c r="H123" s="38" t="s">
        <v>151</v>
      </c>
      <c r="I123" s="38" t="s">
        <v>497</v>
      </c>
      <c r="J123" s="98" t="s">
        <v>424</v>
      </c>
      <c r="K123" s="1" t="s">
        <v>472</v>
      </c>
    </row>
    <row r="124" spans="1:11" x14ac:dyDescent="0.2">
      <c r="A124" s="90" t="s">
        <v>150</v>
      </c>
      <c r="B124" s="90"/>
      <c r="C124" s="90">
        <v>152891</v>
      </c>
      <c r="D124" s="39">
        <v>2</v>
      </c>
      <c r="E124" s="39" t="s">
        <v>472</v>
      </c>
      <c r="F124" s="79">
        <v>40786</v>
      </c>
      <c r="G124" s="79">
        <f t="shared" si="5"/>
        <v>41516</v>
      </c>
      <c r="H124" s="38" t="s">
        <v>151</v>
      </c>
      <c r="I124" s="38" t="s">
        <v>496</v>
      </c>
      <c r="J124" s="98" t="s">
        <v>424</v>
      </c>
      <c r="K124" s="1" t="s">
        <v>472</v>
      </c>
    </row>
    <row r="125" spans="1:11" x14ac:dyDescent="0.2">
      <c r="A125" s="90" t="s">
        <v>190</v>
      </c>
      <c r="B125" s="90"/>
      <c r="C125" s="90">
        <v>27796</v>
      </c>
      <c r="D125" s="39">
        <v>2</v>
      </c>
      <c r="E125" s="39" t="s">
        <v>411</v>
      </c>
      <c r="F125" s="79">
        <v>41016</v>
      </c>
      <c r="G125" s="79">
        <f t="shared" ref="G125:G204" si="14">F125+(D125*365)</f>
        <v>41746</v>
      </c>
      <c r="H125" s="38" t="s">
        <v>413</v>
      </c>
      <c r="I125" s="38" t="s">
        <v>417</v>
      </c>
      <c r="J125" s="98"/>
      <c r="K125" s="1" t="s">
        <v>485</v>
      </c>
    </row>
    <row r="126" spans="1:11" x14ac:dyDescent="0.2">
      <c r="A126" s="90" t="s">
        <v>474</v>
      </c>
      <c r="B126" s="90" t="s">
        <v>471</v>
      </c>
      <c r="C126" s="90">
        <v>23936</v>
      </c>
      <c r="D126" s="39">
        <v>1</v>
      </c>
      <c r="E126" s="39" t="s">
        <v>421</v>
      </c>
      <c r="F126" s="79">
        <v>42390</v>
      </c>
      <c r="G126" s="79">
        <f t="shared" si="14"/>
        <v>42755</v>
      </c>
      <c r="H126" s="38" t="s">
        <v>135</v>
      </c>
      <c r="I126" s="119" t="s">
        <v>680</v>
      </c>
      <c r="J126" s="116" t="s">
        <v>622</v>
      </c>
      <c r="K126" s="1" t="s">
        <v>484</v>
      </c>
    </row>
    <row r="127" spans="1:11" x14ac:dyDescent="0.2">
      <c r="A127" s="90" t="s">
        <v>126</v>
      </c>
      <c r="B127" s="90" t="s">
        <v>471</v>
      </c>
      <c r="C127" s="90">
        <v>564</v>
      </c>
      <c r="D127" s="39">
        <v>1</v>
      </c>
      <c r="E127" s="39" t="s">
        <v>411</v>
      </c>
      <c r="F127" s="79">
        <v>41197</v>
      </c>
      <c r="G127" s="79">
        <f t="shared" si="14"/>
        <v>41562</v>
      </c>
      <c r="H127" s="38" t="s">
        <v>135</v>
      </c>
      <c r="I127" s="38"/>
      <c r="J127" s="98"/>
      <c r="K127" s="1" t="s">
        <v>485</v>
      </c>
    </row>
    <row r="128" spans="1:11" x14ac:dyDescent="0.2">
      <c r="A128" s="90" t="s">
        <v>473</v>
      </c>
      <c r="B128" s="90" t="s">
        <v>471</v>
      </c>
      <c r="C128" s="90">
        <v>100280</v>
      </c>
      <c r="D128" s="39">
        <v>1</v>
      </c>
      <c r="E128" s="39" t="s">
        <v>421</v>
      </c>
      <c r="F128" s="79">
        <v>42404</v>
      </c>
      <c r="G128" s="79">
        <f t="shared" si="14"/>
        <v>42769</v>
      </c>
      <c r="H128" s="38" t="s">
        <v>135</v>
      </c>
      <c r="I128" s="38"/>
      <c r="J128" s="98" t="s">
        <v>710</v>
      </c>
      <c r="K128" s="1" t="s">
        <v>484</v>
      </c>
    </row>
    <row r="129" spans="1:11" x14ac:dyDescent="0.2">
      <c r="A129" s="90" t="s">
        <v>127</v>
      </c>
      <c r="B129" s="90" t="s">
        <v>471</v>
      </c>
      <c r="C129" s="90" t="s">
        <v>134</v>
      </c>
      <c r="D129" s="39">
        <v>1</v>
      </c>
      <c r="E129" s="39" t="s">
        <v>472</v>
      </c>
      <c r="F129" s="79">
        <v>41311</v>
      </c>
      <c r="G129" s="79">
        <f t="shared" si="14"/>
        <v>41676</v>
      </c>
      <c r="H129" s="38" t="s">
        <v>135</v>
      </c>
      <c r="I129" s="38"/>
      <c r="J129" s="98"/>
      <c r="K129" s="1" t="s">
        <v>472</v>
      </c>
    </row>
    <row r="130" spans="1:11" x14ac:dyDescent="0.2">
      <c r="A130" s="90" t="s">
        <v>123</v>
      </c>
      <c r="B130" s="90" t="s">
        <v>449</v>
      </c>
      <c r="C130" s="90">
        <v>16140472</v>
      </c>
      <c r="D130" s="39">
        <v>1</v>
      </c>
      <c r="E130" s="39" t="s">
        <v>421</v>
      </c>
      <c r="F130" s="79">
        <v>42326</v>
      </c>
      <c r="G130" s="79">
        <f t="shared" si="14"/>
        <v>42691</v>
      </c>
      <c r="H130" s="38" t="s">
        <v>418</v>
      </c>
      <c r="I130" s="38"/>
      <c r="J130" s="98" t="s">
        <v>710</v>
      </c>
      <c r="K130" s="1" t="s">
        <v>484</v>
      </c>
    </row>
    <row r="131" spans="1:11" x14ac:dyDescent="0.2">
      <c r="A131" s="90" t="s">
        <v>123</v>
      </c>
      <c r="B131" s="90" t="s">
        <v>449</v>
      </c>
      <c r="C131" s="90">
        <v>68720345</v>
      </c>
      <c r="D131" s="39">
        <v>1</v>
      </c>
      <c r="E131" s="39" t="s">
        <v>421</v>
      </c>
      <c r="F131" s="79">
        <v>42326</v>
      </c>
      <c r="G131" s="79">
        <f t="shared" si="14"/>
        <v>42691</v>
      </c>
      <c r="H131" s="38" t="s">
        <v>418</v>
      </c>
      <c r="I131" s="38"/>
      <c r="J131" s="98" t="s">
        <v>710</v>
      </c>
      <c r="K131" s="1" t="s">
        <v>484</v>
      </c>
    </row>
    <row r="132" spans="1:11" x14ac:dyDescent="0.2">
      <c r="A132" s="90" t="s">
        <v>123</v>
      </c>
      <c r="B132" s="90" t="s">
        <v>449</v>
      </c>
      <c r="C132" s="90">
        <v>956200388</v>
      </c>
      <c r="D132" s="39">
        <v>1</v>
      </c>
      <c r="E132" s="39" t="s">
        <v>421</v>
      </c>
      <c r="F132" s="79">
        <v>42478</v>
      </c>
      <c r="G132" s="79">
        <f t="shared" si="14"/>
        <v>42843</v>
      </c>
      <c r="H132" s="38" t="s">
        <v>418</v>
      </c>
      <c r="I132" s="38"/>
      <c r="J132" s="98" t="s">
        <v>710</v>
      </c>
      <c r="K132" s="1" t="s">
        <v>484</v>
      </c>
    </row>
    <row r="133" spans="1:11" x14ac:dyDescent="0.2">
      <c r="A133" s="90" t="s">
        <v>123</v>
      </c>
      <c r="B133" s="90" t="s">
        <v>449</v>
      </c>
      <c r="C133" s="90">
        <v>64280703</v>
      </c>
      <c r="D133" s="39">
        <v>1</v>
      </c>
      <c r="E133" s="39" t="s">
        <v>421</v>
      </c>
      <c r="F133" s="79">
        <v>42290</v>
      </c>
      <c r="G133" s="79">
        <f t="shared" si="14"/>
        <v>42655</v>
      </c>
      <c r="H133" s="38" t="s">
        <v>418</v>
      </c>
      <c r="I133" s="38"/>
      <c r="J133" s="98" t="s">
        <v>710</v>
      </c>
      <c r="K133" s="1" t="s">
        <v>484</v>
      </c>
    </row>
    <row r="134" spans="1:11" x14ac:dyDescent="0.2">
      <c r="A134" s="90" t="s">
        <v>123</v>
      </c>
      <c r="B134" s="90" t="s">
        <v>449</v>
      </c>
      <c r="C134" s="90">
        <v>956810221</v>
      </c>
      <c r="D134" s="39">
        <v>1</v>
      </c>
      <c r="E134" s="39" t="s">
        <v>421</v>
      </c>
      <c r="F134" s="79">
        <v>42290</v>
      </c>
      <c r="G134" s="79">
        <f t="shared" si="14"/>
        <v>42655</v>
      </c>
      <c r="H134" s="38" t="s">
        <v>418</v>
      </c>
      <c r="I134" s="38"/>
      <c r="J134" s="98" t="s">
        <v>710</v>
      </c>
      <c r="K134" s="1" t="s">
        <v>484</v>
      </c>
    </row>
    <row r="135" spans="1:11" x14ac:dyDescent="0.2">
      <c r="A135" s="90" t="s">
        <v>7</v>
      </c>
      <c r="B135" s="90" t="s">
        <v>450</v>
      </c>
      <c r="C135" s="90">
        <v>11168021</v>
      </c>
      <c r="D135" s="39">
        <v>3</v>
      </c>
      <c r="E135" s="39" t="s">
        <v>421</v>
      </c>
      <c r="F135" s="79">
        <v>41761</v>
      </c>
      <c r="G135" s="79">
        <f t="shared" si="14"/>
        <v>42856</v>
      </c>
      <c r="H135" s="125" t="s">
        <v>174</v>
      </c>
      <c r="I135" s="38"/>
      <c r="J135" s="98" t="s">
        <v>424</v>
      </c>
      <c r="K135" s="1" t="s">
        <v>484</v>
      </c>
    </row>
    <row r="136" spans="1:11" x14ac:dyDescent="0.2">
      <c r="A136" s="90" t="s">
        <v>7</v>
      </c>
      <c r="B136" s="90" t="s">
        <v>450</v>
      </c>
      <c r="C136" s="90">
        <v>11168034</v>
      </c>
      <c r="D136" s="39">
        <v>3</v>
      </c>
      <c r="E136" s="39" t="s">
        <v>421</v>
      </c>
      <c r="F136" s="79">
        <v>41761</v>
      </c>
      <c r="G136" s="79">
        <f t="shared" si="14"/>
        <v>42856</v>
      </c>
      <c r="H136" s="125" t="s">
        <v>174</v>
      </c>
      <c r="I136" s="38"/>
      <c r="J136" s="98" t="s">
        <v>424</v>
      </c>
      <c r="K136" s="1" t="s">
        <v>484</v>
      </c>
    </row>
    <row r="137" spans="1:11" x14ac:dyDescent="0.2">
      <c r="A137" s="90" t="s">
        <v>169</v>
      </c>
      <c r="B137" s="90" t="s">
        <v>450</v>
      </c>
      <c r="C137" s="90">
        <v>13008</v>
      </c>
      <c r="D137" s="39">
        <v>3</v>
      </c>
      <c r="E137" s="39" t="s">
        <v>421</v>
      </c>
      <c r="F137" s="79">
        <v>41943</v>
      </c>
      <c r="G137" s="79">
        <f t="shared" si="14"/>
        <v>43038</v>
      </c>
      <c r="H137" s="125" t="s">
        <v>174</v>
      </c>
      <c r="I137" s="38"/>
      <c r="J137" s="98" t="s">
        <v>424</v>
      </c>
      <c r="K137" s="1" t="s">
        <v>484</v>
      </c>
    </row>
    <row r="138" spans="1:11" x14ac:dyDescent="0.2">
      <c r="A138" s="90" t="s">
        <v>162</v>
      </c>
      <c r="B138" s="90" t="s">
        <v>162</v>
      </c>
      <c r="C138" s="90">
        <v>140284471</v>
      </c>
      <c r="D138" s="39">
        <v>2</v>
      </c>
      <c r="E138" s="39" t="s">
        <v>561</v>
      </c>
      <c r="F138" s="79">
        <v>41754</v>
      </c>
      <c r="G138" s="79">
        <f t="shared" si="14"/>
        <v>42484</v>
      </c>
      <c r="H138" s="38" t="s">
        <v>770</v>
      </c>
      <c r="I138" s="38" t="s">
        <v>771</v>
      </c>
      <c r="J138" s="98" t="s">
        <v>773</v>
      </c>
      <c r="K138" s="1" t="s">
        <v>485</v>
      </c>
    </row>
    <row r="139" spans="1:11" x14ac:dyDescent="0.2">
      <c r="A139" s="90" t="s">
        <v>162</v>
      </c>
      <c r="B139" s="90" t="s">
        <v>162</v>
      </c>
      <c r="C139" s="90">
        <v>140284535</v>
      </c>
      <c r="D139" s="39">
        <v>2</v>
      </c>
      <c r="E139" s="39" t="s">
        <v>561</v>
      </c>
      <c r="F139" s="79">
        <v>41754</v>
      </c>
      <c r="G139" s="79">
        <f t="shared" si="14"/>
        <v>42484</v>
      </c>
      <c r="H139" s="38" t="s">
        <v>770</v>
      </c>
      <c r="I139" s="38" t="s">
        <v>772</v>
      </c>
      <c r="J139" s="98" t="s">
        <v>773</v>
      </c>
      <c r="K139" s="1" t="s">
        <v>485</v>
      </c>
    </row>
    <row r="140" spans="1:11" ht="13.15" customHeight="1" x14ac:dyDescent="0.2">
      <c r="A140" s="90" t="s">
        <v>162</v>
      </c>
      <c r="B140" s="90" t="s">
        <v>162</v>
      </c>
      <c r="C140" s="90">
        <v>140284269</v>
      </c>
      <c r="D140" s="39">
        <v>2</v>
      </c>
      <c r="E140" s="39" t="s">
        <v>561</v>
      </c>
      <c r="F140" s="79">
        <v>41754</v>
      </c>
      <c r="G140" s="79">
        <f t="shared" si="14"/>
        <v>42484</v>
      </c>
      <c r="H140" s="38" t="s">
        <v>770</v>
      </c>
      <c r="I140" s="38" t="s">
        <v>772</v>
      </c>
      <c r="J140" s="98" t="s">
        <v>773</v>
      </c>
      <c r="K140" s="1" t="s">
        <v>485</v>
      </c>
    </row>
    <row r="141" spans="1:11" ht="13.15" customHeight="1" x14ac:dyDescent="0.2">
      <c r="A141" s="90" t="s">
        <v>162</v>
      </c>
      <c r="B141" s="90" t="s">
        <v>162</v>
      </c>
      <c r="C141" s="90">
        <v>140284173</v>
      </c>
      <c r="D141" s="39">
        <v>2</v>
      </c>
      <c r="E141" s="39" t="s">
        <v>561</v>
      </c>
      <c r="F141" s="79">
        <v>41754</v>
      </c>
      <c r="G141" s="79">
        <f t="shared" si="14"/>
        <v>42484</v>
      </c>
      <c r="H141" s="38" t="s">
        <v>770</v>
      </c>
      <c r="I141" s="38" t="s">
        <v>772</v>
      </c>
      <c r="J141" s="98" t="s">
        <v>773</v>
      </c>
      <c r="K141" s="1" t="s">
        <v>485</v>
      </c>
    </row>
    <row r="142" spans="1:11" ht="13.15" customHeight="1" x14ac:dyDescent="0.2">
      <c r="A142" s="90" t="s">
        <v>162</v>
      </c>
      <c r="B142" s="90" t="s">
        <v>162</v>
      </c>
      <c r="C142" s="90">
        <v>160235142</v>
      </c>
      <c r="D142" s="39">
        <v>2</v>
      </c>
      <c r="E142" s="39" t="s">
        <v>421</v>
      </c>
      <c r="F142" s="79">
        <v>42426</v>
      </c>
      <c r="G142" s="79">
        <f t="shared" ref="G142" si="15">F142+(D142*365)</f>
        <v>43156</v>
      </c>
      <c r="H142" s="38" t="s">
        <v>174</v>
      </c>
      <c r="I142" s="38"/>
      <c r="J142" s="98" t="s">
        <v>773</v>
      </c>
      <c r="K142" s="1" t="s">
        <v>484</v>
      </c>
    </row>
    <row r="143" spans="1:11" ht="12.75" customHeight="1" x14ac:dyDescent="0.2">
      <c r="A143" s="90" t="s">
        <v>78</v>
      </c>
      <c r="B143" s="90" t="s">
        <v>796</v>
      </c>
      <c r="C143" s="90">
        <v>655342</v>
      </c>
      <c r="D143" s="39">
        <v>1</v>
      </c>
      <c r="E143" s="39" t="s">
        <v>421</v>
      </c>
      <c r="F143" s="79">
        <v>42384</v>
      </c>
      <c r="G143" s="79">
        <f t="shared" si="14"/>
        <v>42749</v>
      </c>
      <c r="H143" s="38" t="s">
        <v>418</v>
      </c>
      <c r="I143" s="119"/>
      <c r="J143" s="98" t="s">
        <v>639</v>
      </c>
      <c r="K143" s="1" t="s">
        <v>484</v>
      </c>
    </row>
    <row r="144" spans="1:11" x14ac:dyDescent="0.2">
      <c r="A144" s="90" t="s">
        <v>566</v>
      </c>
      <c r="B144" s="90"/>
      <c r="C144" s="90" t="s">
        <v>157</v>
      </c>
      <c r="D144" s="39">
        <v>1</v>
      </c>
      <c r="E144" s="39" t="s">
        <v>561</v>
      </c>
      <c r="F144" s="79">
        <v>42017</v>
      </c>
      <c r="G144" s="79">
        <f t="shared" si="14"/>
        <v>42382</v>
      </c>
      <c r="H144" s="38" t="s">
        <v>563</v>
      </c>
      <c r="I144" s="38" t="s">
        <v>514</v>
      </c>
      <c r="J144" s="98"/>
      <c r="K144" s="1" t="s">
        <v>485</v>
      </c>
    </row>
    <row r="145" spans="1:11" x14ac:dyDescent="0.2">
      <c r="A145" s="90" t="s">
        <v>75</v>
      </c>
      <c r="B145" s="90" t="s">
        <v>429</v>
      </c>
      <c r="C145" s="90" t="s">
        <v>425</v>
      </c>
      <c r="D145" s="39">
        <v>1</v>
      </c>
      <c r="E145" s="39" t="s">
        <v>411</v>
      </c>
      <c r="F145" s="79">
        <v>42081</v>
      </c>
      <c r="G145" s="79">
        <f t="shared" si="14"/>
        <v>42446</v>
      </c>
      <c r="H145" s="38" t="s">
        <v>414</v>
      </c>
      <c r="I145" s="38" t="s">
        <v>358</v>
      </c>
      <c r="J145" s="98"/>
      <c r="K145" s="1" t="s">
        <v>485</v>
      </c>
    </row>
    <row r="146" spans="1:11" x14ac:dyDescent="0.2">
      <c r="A146" s="90" t="s">
        <v>598</v>
      </c>
      <c r="B146" s="90" t="s">
        <v>429</v>
      </c>
      <c r="C146" s="90" t="s">
        <v>597</v>
      </c>
      <c r="D146" s="39">
        <v>1</v>
      </c>
      <c r="E146" s="39" t="s">
        <v>421</v>
      </c>
      <c r="F146" s="79">
        <v>42222</v>
      </c>
      <c r="G146" s="79">
        <f t="shared" ref="G146" si="16">F146+(D146*365)</f>
        <v>42587</v>
      </c>
      <c r="H146" s="38" t="s">
        <v>414</v>
      </c>
      <c r="I146" s="38" t="s">
        <v>356</v>
      </c>
      <c r="J146" s="98"/>
      <c r="K146" s="1" t="s">
        <v>487</v>
      </c>
    </row>
    <row r="147" spans="1:11" x14ac:dyDescent="0.2">
      <c r="A147" s="90" t="s">
        <v>75</v>
      </c>
      <c r="B147" s="90" t="s">
        <v>429</v>
      </c>
      <c r="C147" s="90" t="s">
        <v>434</v>
      </c>
      <c r="D147" s="39">
        <v>1</v>
      </c>
      <c r="E147" s="39" t="s">
        <v>411</v>
      </c>
      <c r="F147" s="79">
        <v>42083</v>
      </c>
      <c r="G147" s="79">
        <f t="shared" si="14"/>
        <v>42448</v>
      </c>
      <c r="H147" s="38" t="s">
        <v>414</v>
      </c>
      <c r="I147" s="38" t="s">
        <v>356</v>
      </c>
      <c r="J147" s="98"/>
      <c r="K147" s="1" t="s">
        <v>485</v>
      </c>
    </row>
    <row r="148" spans="1:11" x14ac:dyDescent="0.2">
      <c r="A148" s="90" t="s">
        <v>75</v>
      </c>
      <c r="B148" s="90" t="s">
        <v>429</v>
      </c>
      <c r="C148" s="90" t="s">
        <v>426</v>
      </c>
      <c r="D148" s="39">
        <v>1</v>
      </c>
      <c r="E148" s="39" t="s">
        <v>411</v>
      </c>
      <c r="F148" s="79">
        <v>42081</v>
      </c>
      <c r="G148" s="79">
        <f t="shared" si="14"/>
        <v>42446</v>
      </c>
      <c r="H148" s="38" t="s">
        <v>414</v>
      </c>
      <c r="I148" s="38" t="s">
        <v>357</v>
      </c>
      <c r="J148" s="98"/>
      <c r="K148" s="1" t="s">
        <v>485</v>
      </c>
    </row>
    <row r="149" spans="1:11" x14ac:dyDescent="0.2">
      <c r="A149" s="90" t="s">
        <v>594</v>
      </c>
      <c r="B149" s="90" t="s">
        <v>429</v>
      </c>
      <c r="C149" s="90" t="s">
        <v>595</v>
      </c>
      <c r="D149" s="39">
        <v>1</v>
      </c>
      <c r="E149" s="39" t="s">
        <v>421</v>
      </c>
      <c r="F149" s="79">
        <v>42178</v>
      </c>
      <c r="G149" s="79">
        <f t="shared" si="14"/>
        <v>42543</v>
      </c>
      <c r="H149" s="38" t="s">
        <v>210</v>
      </c>
      <c r="I149" s="38" t="s">
        <v>596</v>
      </c>
      <c r="J149" s="98"/>
      <c r="K149" s="1" t="s">
        <v>490</v>
      </c>
    </row>
    <row r="150" spans="1:11" x14ac:dyDescent="0.2">
      <c r="A150" s="90" t="s">
        <v>603</v>
      </c>
      <c r="B150" s="90" t="s">
        <v>429</v>
      </c>
      <c r="C150" s="90" t="s">
        <v>783</v>
      </c>
      <c r="D150" s="39">
        <v>1</v>
      </c>
      <c r="E150" s="39" t="s">
        <v>421</v>
      </c>
      <c r="F150" s="79">
        <v>42494</v>
      </c>
      <c r="G150" s="79">
        <f t="shared" si="14"/>
        <v>42859</v>
      </c>
      <c r="H150" s="38" t="s">
        <v>785</v>
      </c>
      <c r="I150" s="125" t="s">
        <v>675</v>
      </c>
      <c r="J150" s="98"/>
      <c r="K150" s="1" t="s">
        <v>484</v>
      </c>
    </row>
    <row r="151" spans="1:11" x14ac:dyDescent="0.2">
      <c r="A151" s="90" t="s">
        <v>603</v>
      </c>
      <c r="B151" s="90" t="s">
        <v>429</v>
      </c>
      <c r="C151" s="90" t="s">
        <v>784</v>
      </c>
      <c r="D151" s="39">
        <v>1</v>
      </c>
      <c r="E151" s="39" t="s">
        <v>421</v>
      </c>
      <c r="F151" s="79">
        <v>42494</v>
      </c>
      <c r="G151" s="79">
        <f t="shared" si="14"/>
        <v>42859</v>
      </c>
      <c r="H151" s="38" t="s">
        <v>786</v>
      </c>
      <c r="I151" s="125" t="s">
        <v>675</v>
      </c>
      <c r="J151" s="98"/>
      <c r="K151" s="1" t="s">
        <v>484</v>
      </c>
    </row>
    <row r="152" spans="1:11" x14ac:dyDescent="0.2">
      <c r="A152" s="90" t="s">
        <v>154</v>
      </c>
      <c r="B152" s="90" t="s">
        <v>429</v>
      </c>
      <c r="C152" s="90">
        <v>1303332</v>
      </c>
      <c r="D152" s="39">
        <v>1</v>
      </c>
      <c r="E152" s="39" t="s">
        <v>411</v>
      </c>
      <c r="F152" s="79">
        <v>40835</v>
      </c>
      <c r="G152" s="79">
        <f t="shared" si="14"/>
        <v>41200</v>
      </c>
      <c r="H152" s="38" t="s">
        <v>414</v>
      </c>
      <c r="I152" s="38" t="s">
        <v>230</v>
      </c>
      <c r="J152" s="98"/>
      <c r="K152" s="1" t="s">
        <v>485</v>
      </c>
    </row>
    <row r="153" spans="1:11" x14ac:dyDescent="0.2">
      <c r="A153" s="90" t="s">
        <v>129</v>
      </c>
      <c r="B153" s="90" t="s">
        <v>429</v>
      </c>
      <c r="C153" s="90">
        <v>1138025</v>
      </c>
      <c r="D153" s="39">
        <v>1</v>
      </c>
      <c r="E153" s="39" t="s">
        <v>411</v>
      </c>
      <c r="F153" s="79">
        <v>41053</v>
      </c>
      <c r="G153" s="79">
        <f t="shared" si="14"/>
        <v>41418</v>
      </c>
      <c r="H153" s="38" t="s">
        <v>414</v>
      </c>
      <c r="I153" s="38" t="s">
        <v>230</v>
      </c>
      <c r="J153" s="98"/>
      <c r="K153" s="1" t="s">
        <v>485</v>
      </c>
    </row>
    <row r="154" spans="1:11" x14ac:dyDescent="0.2">
      <c r="A154" s="90" t="s">
        <v>129</v>
      </c>
      <c r="B154" s="90" t="s">
        <v>429</v>
      </c>
      <c r="C154" s="90">
        <v>876346</v>
      </c>
      <c r="D154" s="39">
        <v>1</v>
      </c>
      <c r="E154" s="39" t="s">
        <v>411</v>
      </c>
      <c r="F154" s="79">
        <v>40919</v>
      </c>
      <c r="G154" s="79">
        <f t="shared" si="14"/>
        <v>41284</v>
      </c>
      <c r="H154" s="38" t="s">
        <v>414</v>
      </c>
      <c r="I154" s="38" t="s">
        <v>230</v>
      </c>
      <c r="J154" s="98"/>
      <c r="K154" s="1" t="s">
        <v>485</v>
      </c>
    </row>
    <row r="155" spans="1:11" x14ac:dyDescent="0.2">
      <c r="A155" s="90" t="s">
        <v>557</v>
      </c>
      <c r="B155" s="90" t="s">
        <v>429</v>
      </c>
      <c r="C155" s="90" t="s">
        <v>558</v>
      </c>
      <c r="D155" s="39">
        <v>1</v>
      </c>
      <c r="E155" s="39" t="s">
        <v>421</v>
      </c>
      <c r="F155" s="79">
        <v>42402</v>
      </c>
      <c r="G155" s="79">
        <f t="shared" ref="G155" si="17">F155+(D155*365)</f>
        <v>42767</v>
      </c>
      <c r="H155" s="125" t="s">
        <v>174</v>
      </c>
      <c r="I155" s="119"/>
      <c r="J155" s="116" t="s">
        <v>658</v>
      </c>
      <c r="K155" s="1" t="s">
        <v>484</v>
      </c>
    </row>
    <row r="156" spans="1:11" x14ac:dyDescent="0.2">
      <c r="A156" s="90" t="s">
        <v>555</v>
      </c>
      <c r="B156" s="90" t="s">
        <v>429</v>
      </c>
      <c r="C156" s="90" t="s">
        <v>556</v>
      </c>
      <c r="D156" s="39">
        <v>1</v>
      </c>
      <c r="E156" s="39" t="s">
        <v>421</v>
      </c>
      <c r="F156" s="79">
        <v>42398</v>
      </c>
      <c r="G156" s="79">
        <f t="shared" si="14"/>
        <v>42763</v>
      </c>
      <c r="H156" s="125" t="s">
        <v>729</v>
      </c>
      <c r="I156" s="119"/>
      <c r="J156" s="116" t="s">
        <v>658</v>
      </c>
      <c r="K156" s="1" t="s">
        <v>484</v>
      </c>
    </row>
    <row r="157" spans="1:11" x14ac:dyDescent="0.2">
      <c r="A157" s="90" t="s">
        <v>624</v>
      </c>
      <c r="B157" s="90" t="s">
        <v>430</v>
      </c>
      <c r="C157" s="117" t="s">
        <v>623</v>
      </c>
      <c r="D157" s="39">
        <v>1</v>
      </c>
      <c r="E157" s="39" t="s">
        <v>472</v>
      </c>
      <c r="F157" s="79">
        <v>41047</v>
      </c>
      <c r="G157" s="79">
        <f t="shared" si="14"/>
        <v>41412</v>
      </c>
      <c r="H157" s="125" t="s">
        <v>174</v>
      </c>
      <c r="I157" s="38" t="s">
        <v>645</v>
      </c>
      <c r="J157" s="116" t="s">
        <v>644</v>
      </c>
      <c r="K157" s="1" t="s">
        <v>472</v>
      </c>
    </row>
    <row r="158" spans="1:11" x14ac:dyDescent="0.2">
      <c r="A158" s="90" t="s">
        <v>133</v>
      </c>
      <c r="B158" s="90" t="s">
        <v>642</v>
      </c>
      <c r="C158" s="90">
        <v>10130188</v>
      </c>
      <c r="D158" s="39">
        <v>1</v>
      </c>
      <c r="E158" s="39" t="s">
        <v>421</v>
      </c>
      <c r="F158" s="79">
        <v>42381</v>
      </c>
      <c r="G158" s="79">
        <f t="shared" si="14"/>
        <v>42746</v>
      </c>
      <c r="H158" s="125" t="s">
        <v>174</v>
      </c>
      <c r="I158" s="119"/>
      <c r="J158" s="98" t="s">
        <v>639</v>
      </c>
      <c r="K158" s="1" t="s">
        <v>484</v>
      </c>
    </row>
    <row r="159" spans="1:11" x14ac:dyDescent="0.2">
      <c r="A159" s="90" t="s">
        <v>12</v>
      </c>
      <c r="B159" s="90" t="s">
        <v>641</v>
      </c>
      <c r="C159" s="90">
        <v>12406652</v>
      </c>
      <c r="D159" s="39">
        <v>1</v>
      </c>
      <c r="E159" s="39" t="s">
        <v>421</v>
      </c>
      <c r="F159" s="79">
        <v>42381</v>
      </c>
      <c r="G159" s="79">
        <f t="shared" si="14"/>
        <v>42746</v>
      </c>
      <c r="H159" s="38" t="s">
        <v>647</v>
      </c>
      <c r="I159" s="119"/>
      <c r="J159" s="98" t="s">
        <v>639</v>
      </c>
      <c r="K159" s="1" t="s">
        <v>484</v>
      </c>
    </row>
    <row r="160" spans="1:11" x14ac:dyDescent="0.2">
      <c r="A160" s="90" t="s">
        <v>131</v>
      </c>
      <c r="B160" s="90" t="s">
        <v>430</v>
      </c>
      <c r="C160" s="90">
        <v>6075542</v>
      </c>
      <c r="D160" s="39">
        <v>1</v>
      </c>
      <c r="E160" s="39" t="s">
        <v>421</v>
      </c>
      <c r="F160" s="79">
        <v>42381</v>
      </c>
      <c r="G160" s="79">
        <f t="shared" si="14"/>
        <v>42746</v>
      </c>
      <c r="H160" s="125" t="s">
        <v>174</v>
      </c>
      <c r="I160" s="119"/>
      <c r="J160" s="98" t="s">
        <v>639</v>
      </c>
      <c r="K160" s="1" t="s">
        <v>484</v>
      </c>
    </row>
    <row r="161" spans="1:11" x14ac:dyDescent="0.2">
      <c r="A161" s="90" t="s">
        <v>13</v>
      </c>
      <c r="B161" s="90" t="s">
        <v>641</v>
      </c>
      <c r="C161" s="90" t="s">
        <v>14</v>
      </c>
      <c r="D161" s="39">
        <v>1</v>
      </c>
      <c r="E161" s="39" t="s">
        <v>421</v>
      </c>
      <c r="F161" s="79">
        <v>42381</v>
      </c>
      <c r="G161" s="79">
        <f t="shared" si="14"/>
        <v>42746</v>
      </c>
      <c r="H161" s="125" t="s">
        <v>174</v>
      </c>
      <c r="I161" s="119"/>
      <c r="J161" s="98" t="s">
        <v>639</v>
      </c>
      <c r="K161" s="1" t="s">
        <v>484</v>
      </c>
    </row>
    <row r="162" spans="1:11" x14ac:dyDescent="0.2">
      <c r="A162" s="90" t="s">
        <v>83</v>
      </c>
      <c r="B162" s="90" t="s">
        <v>430</v>
      </c>
      <c r="C162" s="90">
        <v>8292516</v>
      </c>
      <c r="D162" s="39">
        <v>1</v>
      </c>
      <c r="E162" s="39" t="s">
        <v>421</v>
      </c>
      <c r="F162" s="79">
        <v>42439</v>
      </c>
      <c r="G162" s="79">
        <f t="shared" si="14"/>
        <v>42804</v>
      </c>
      <c r="H162" s="38" t="s">
        <v>756</v>
      </c>
      <c r="I162" s="38" t="s">
        <v>755</v>
      </c>
      <c r="J162" s="98" t="s">
        <v>621</v>
      </c>
      <c r="K162" s="1" t="s">
        <v>484</v>
      </c>
    </row>
    <row r="163" spans="1:11" x14ac:dyDescent="0.2">
      <c r="A163" s="90" t="s">
        <v>221</v>
      </c>
      <c r="B163" s="90" t="s">
        <v>431</v>
      </c>
      <c r="C163" s="90">
        <v>2017278</v>
      </c>
      <c r="D163" s="39">
        <v>1</v>
      </c>
      <c r="E163" s="39" t="s">
        <v>411</v>
      </c>
      <c r="F163" s="79">
        <v>41162</v>
      </c>
      <c r="G163" s="79">
        <f t="shared" si="14"/>
        <v>41527</v>
      </c>
      <c r="H163" s="38" t="s">
        <v>452</v>
      </c>
      <c r="I163" s="38" t="s">
        <v>453</v>
      </c>
      <c r="J163" s="98" t="s">
        <v>424</v>
      </c>
      <c r="K163" s="1" t="s">
        <v>485</v>
      </c>
    </row>
    <row r="164" spans="1:11" x14ac:dyDescent="0.2">
      <c r="A164" s="90" t="s">
        <v>222</v>
      </c>
      <c r="B164" s="90" t="s">
        <v>643</v>
      </c>
      <c r="C164" s="90">
        <v>85170421</v>
      </c>
      <c r="D164" s="39">
        <v>1</v>
      </c>
      <c r="E164" s="39" t="s">
        <v>421</v>
      </c>
      <c r="F164" s="79">
        <v>42381</v>
      </c>
      <c r="G164" s="79">
        <f t="shared" si="14"/>
        <v>42746</v>
      </c>
      <c r="H164" s="125" t="s">
        <v>174</v>
      </c>
      <c r="I164" s="119"/>
      <c r="J164" s="98" t="s">
        <v>639</v>
      </c>
      <c r="K164" s="1" t="s">
        <v>484</v>
      </c>
    </row>
    <row r="165" spans="1:11" x14ac:dyDescent="0.2">
      <c r="A165" s="90" t="s">
        <v>56</v>
      </c>
      <c r="B165" s="90" t="s">
        <v>432</v>
      </c>
      <c r="C165" s="117" t="s">
        <v>633</v>
      </c>
      <c r="D165" s="39">
        <v>1</v>
      </c>
      <c r="E165" s="39" t="s">
        <v>421</v>
      </c>
      <c r="F165" s="79">
        <v>42285</v>
      </c>
      <c r="G165" s="79">
        <f t="shared" si="14"/>
        <v>42650</v>
      </c>
      <c r="H165" s="38" t="s">
        <v>418</v>
      </c>
      <c r="I165" s="38"/>
      <c r="J165" s="116" t="s">
        <v>640</v>
      </c>
      <c r="K165" s="1" t="s">
        <v>484</v>
      </c>
    </row>
    <row r="166" spans="1:11" x14ac:dyDescent="0.2">
      <c r="A166" s="90" t="s">
        <v>218</v>
      </c>
      <c r="B166" s="90" t="s">
        <v>432</v>
      </c>
      <c r="C166" s="117" t="s">
        <v>634</v>
      </c>
      <c r="D166" s="39">
        <v>1</v>
      </c>
      <c r="E166" s="39" t="s">
        <v>421</v>
      </c>
      <c r="F166" s="79">
        <v>42264</v>
      </c>
      <c r="G166" s="79">
        <f t="shared" si="14"/>
        <v>42629</v>
      </c>
      <c r="H166" s="38" t="s">
        <v>418</v>
      </c>
      <c r="I166" s="38"/>
      <c r="J166" s="116" t="s">
        <v>640</v>
      </c>
      <c r="K166" s="1" t="s">
        <v>484</v>
      </c>
    </row>
    <row r="167" spans="1:11" x14ac:dyDescent="0.2">
      <c r="A167" s="90" t="s">
        <v>91</v>
      </c>
      <c r="B167" s="90" t="s">
        <v>432</v>
      </c>
      <c r="C167" s="90">
        <v>5110621215</v>
      </c>
      <c r="D167" s="39">
        <v>1</v>
      </c>
      <c r="E167" s="39" t="s">
        <v>561</v>
      </c>
      <c r="F167" s="79">
        <v>42284</v>
      </c>
      <c r="G167" s="79">
        <f t="shared" si="14"/>
        <v>42649</v>
      </c>
      <c r="H167" s="119" t="s">
        <v>704</v>
      </c>
      <c r="I167" s="119" t="s">
        <v>705</v>
      </c>
      <c r="J167" s="116" t="s">
        <v>640</v>
      </c>
      <c r="K167" s="1" t="s">
        <v>484</v>
      </c>
    </row>
    <row r="168" spans="1:11" x14ac:dyDescent="0.2">
      <c r="A168" s="90" t="s">
        <v>92</v>
      </c>
      <c r="B168" s="90" t="s">
        <v>432</v>
      </c>
      <c r="C168" s="90">
        <v>1009032921</v>
      </c>
      <c r="D168" s="39">
        <v>1</v>
      </c>
      <c r="E168" s="39" t="s">
        <v>421</v>
      </c>
      <c r="F168" s="79">
        <v>42284</v>
      </c>
      <c r="G168" s="79">
        <f t="shared" si="14"/>
        <v>42649</v>
      </c>
      <c r="H168" s="38" t="s">
        <v>418</v>
      </c>
      <c r="I168" s="119"/>
      <c r="J168" s="98" t="s">
        <v>640</v>
      </c>
      <c r="K168" s="1" t="s">
        <v>484</v>
      </c>
    </row>
    <row r="169" spans="1:11" x14ac:dyDescent="0.2">
      <c r="A169" s="90" t="s">
        <v>125</v>
      </c>
      <c r="B169" s="90" t="s">
        <v>797</v>
      </c>
      <c r="C169" s="117" t="s">
        <v>542</v>
      </c>
      <c r="D169" s="39">
        <v>1</v>
      </c>
      <c r="E169" s="39" t="s">
        <v>421</v>
      </c>
      <c r="F169" s="79">
        <v>42276</v>
      </c>
      <c r="G169" s="79">
        <f t="shared" si="14"/>
        <v>42641</v>
      </c>
      <c r="H169" s="125" t="s">
        <v>174</v>
      </c>
      <c r="I169" s="38" t="s">
        <v>417</v>
      </c>
      <c r="J169" s="98"/>
      <c r="K169" s="1" t="s">
        <v>484</v>
      </c>
    </row>
    <row r="170" spans="1:11" x14ac:dyDescent="0.2">
      <c r="A170" s="90" t="s">
        <v>4</v>
      </c>
      <c r="B170" s="90" t="s">
        <v>433</v>
      </c>
      <c r="C170" s="90">
        <v>983203363</v>
      </c>
      <c r="D170" s="39">
        <v>1</v>
      </c>
      <c r="E170" s="39" t="s">
        <v>561</v>
      </c>
      <c r="F170" s="79">
        <v>42276</v>
      </c>
      <c r="G170" s="79">
        <f t="shared" si="14"/>
        <v>42641</v>
      </c>
      <c r="H170" s="125" t="s">
        <v>770</v>
      </c>
      <c r="I170" s="119" t="s">
        <v>805</v>
      </c>
      <c r="J170" s="98" t="s">
        <v>639</v>
      </c>
      <c r="K170" s="1" t="s">
        <v>484</v>
      </c>
    </row>
    <row r="171" spans="1:11" x14ac:dyDescent="0.2">
      <c r="A171" s="90" t="s">
        <v>5</v>
      </c>
      <c r="B171" s="90" t="s">
        <v>433</v>
      </c>
      <c r="C171" s="90">
        <v>981691837</v>
      </c>
      <c r="D171" s="39">
        <v>1</v>
      </c>
      <c r="E171" s="39" t="s">
        <v>421</v>
      </c>
      <c r="F171" s="79">
        <v>42276</v>
      </c>
      <c r="G171" s="79">
        <f t="shared" si="14"/>
        <v>42641</v>
      </c>
      <c r="H171" s="125" t="s">
        <v>418</v>
      </c>
      <c r="I171" s="38"/>
      <c r="J171" s="98" t="s">
        <v>639</v>
      </c>
      <c r="K171" s="1" t="s">
        <v>484</v>
      </c>
    </row>
    <row r="172" spans="1:11" x14ac:dyDescent="0.2">
      <c r="A172" s="90" t="s">
        <v>6</v>
      </c>
      <c r="B172" s="90" t="s">
        <v>433</v>
      </c>
      <c r="C172" s="90">
        <v>952770417</v>
      </c>
      <c r="D172" s="39">
        <v>1</v>
      </c>
      <c r="E172" s="39" t="s">
        <v>561</v>
      </c>
      <c r="F172" s="79">
        <v>42016</v>
      </c>
      <c r="G172" s="79">
        <f t="shared" si="14"/>
        <v>42381</v>
      </c>
      <c r="H172" s="125" t="s">
        <v>770</v>
      </c>
      <c r="I172" s="119" t="s">
        <v>805</v>
      </c>
      <c r="J172" s="98" t="s">
        <v>639</v>
      </c>
      <c r="K172" s="1" t="s">
        <v>485</v>
      </c>
    </row>
    <row r="173" spans="1:11" x14ac:dyDescent="0.2">
      <c r="A173" s="90" t="s">
        <v>9</v>
      </c>
      <c r="B173" s="90" t="s">
        <v>433</v>
      </c>
      <c r="C173" s="90">
        <v>983445094</v>
      </c>
      <c r="D173" s="39">
        <v>1</v>
      </c>
      <c r="E173" s="39" t="s">
        <v>421</v>
      </c>
      <c r="F173" s="79">
        <v>42347</v>
      </c>
      <c r="G173" s="79">
        <f t="shared" ref="G173" si="18">F173+(D173*365)</f>
        <v>42712</v>
      </c>
      <c r="H173" s="125" t="s">
        <v>782</v>
      </c>
      <c r="I173" s="38"/>
      <c r="J173" s="98" t="s">
        <v>639</v>
      </c>
      <c r="K173" s="1" t="s">
        <v>484</v>
      </c>
    </row>
    <row r="174" spans="1:11" x14ac:dyDescent="0.2">
      <c r="A174" s="90" t="s">
        <v>10</v>
      </c>
      <c r="B174" s="90" t="s">
        <v>433</v>
      </c>
      <c r="C174" s="90">
        <v>983203362</v>
      </c>
      <c r="D174" s="39">
        <v>1</v>
      </c>
      <c r="E174" s="39" t="s">
        <v>421</v>
      </c>
      <c r="F174" s="79">
        <v>42439</v>
      </c>
      <c r="G174" s="79">
        <f t="shared" si="14"/>
        <v>42804</v>
      </c>
      <c r="H174" s="125" t="s">
        <v>418</v>
      </c>
      <c r="I174" s="38"/>
      <c r="J174" s="116" t="s">
        <v>754</v>
      </c>
      <c r="K174" s="1" t="s">
        <v>484</v>
      </c>
    </row>
    <row r="175" spans="1:11" x14ac:dyDescent="0.2">
      <c r="A175" s="90" t="s">
        <v>58</v>
      </c>
      <c r="B175" s="90" t="s">
        <v>433</v>
      </c>
      <c r="C175" s="90" t="s">
        <v>461</v>
      </c>
      <c r="D175" s="39">
        <v>1</v>
      </c>
      <c r="E175" s="39" t="s">
        <v>561</v>
      </c>
      <c r="F175" s="79">
        <v>42016</v>
      </c>
      <c r="G175" s="79">
        <f t="shared" ref="G175" si="19">F175+(D175*365)</f>
        <v>42381</v>
      </c>
      <c r="H175" s="125" t="s">
        <v>770</v>
      </c>
      <c r="I175" s="119" t="s">
        <v>805</v>
      </c>
      <c r="J175" s="98" t="s">
        <v>639</v>
      </c>
      <c r="K175" s="1" t="s">
        <v>485</v>
      </c>
    </row>
    <row r="176" spans="1:11" x14ac:dyDescent="0.2">
      <c r="A176" s="90" t="s">
        <v>57</v>
      </c>
      <c r="B176" s="90" t="s">
        <v>433</v>
      </c>
      <c r="C176" s="90">
        <v>983445093</v>
      </c>
      <c r="D176" s="39">
        <v>1</v>
      </c>
      <c r="E176" s="39" t="s">
        <v>561</v>
      </c>
      <c r="F176" s="79">
        <v>42016</v>
      </c>
      <c r="G176" s="79">
        <f t="shared" si="14"/>
        <v>42381</v>
      </c>
      <c r="H176" s="124" t="s">
        <v>637</v>
      </c>
      <c r="I176" s="38" t="s">
        <v>673</v>
      </c>
      <c r="J176" s="98" t="s">
        <v>639</v>
      </c>
      <c r="K176" s="1" t="s">
        <v>485</v>
      </c>
    </row>
    <row r="177" spans="1:11" x14ac:dyDescent="0.2">
      <c r="A177" s="90" t="s">
        <v>137</v>
      </c>
      <c r="B177" s="90" t="s">
        <v>433</v>
      </c>
      <c r="C177" s="90">
        <v>983223501</v>
      </c>
      <c r="D177" s="39">
        <v>1</v>
      </c>
      <c r="E177" s="39" t="s">
        <v>421</v>
      </c>
      <c r="F177" s="79">
        <v>42383</v>
      </c>
      <c r="G177" s="79">
        <f t="shared" si="14"/>
        <v>42748</v>
      </c>
      <c r="H177" s="125" t="s">
        <v>418</v>
      </c>
      <c r="I177" s="38" t="s">
        <v>679</v>
      </c>
      <c r="J177" s="98" t="s">
        <v>639</v>
      </c>
      <c r="K177" s="1" t="s">
        <v>484</v>
      </c>
    </row>
    <row r="178" spans="1:11" x14ac:dyDescent="0.2">
      <c r="A178" s="90" t="s">
        <v>462</v>
      </c>
      <c r="B178" s="90" t="s">
        <v>433</v>
      </c>
      <c r="C178" s="90">
        <v>111155653</v>
      </c>
      <c r="D178" s="39">
        <v>1</v>
      </c>
      <c r="E178" s="39" t="s">
        <v>561</v>
      </c>
      <c r="F178" s="79">
        <v>42347</v>
      </c>
      <c r="G178" s="79">
        <f t="shared" ref="G178" si="20">F178+(D178*365)</f>
        <v>42712</v>
      </c>
      <c r="H178" s="125" t="s">
        <v>770</v>
      </c>
      <c r="I178" s="119" t="s">
        <v>805</v>
      </c>
      <c r="J178" s="98" t="s">
        <v>639</v>
      </c>
      <c r="K178" s="1" t="s">
        <v>484</v>
      </c>
    </row>
    <row r="179" spans="1:11" x14ac:dyDescent="0.2">
      <c r="A179" s="90" t="s">
        <v>136</v>
      </c>
      <c r="B179" s="90" t="s">
        <v>433</v>
      </c>
      <c r="C179" s="90">
        <v>110761839</v>
      </c>
      <c r="D179" s="39">
        <v>1</v>
      </c>
      <c r="E179" s="39" t="s">
        <v>421</v>
      </c>
      <c r="F179" s="79">
        <v>42439</v>
      </c>
      <c r="G179" s="79">
        <f t="shared" si="14"/>
        <v>42804</v>
      </c>
      <c r="H179" s="125" t="s">
        <v>418</v>
      </c>
      <c r="I179" s="38"/>
      <c r="J179" s="116" t="s">
        <v>754</v>
      </c>
      <c r="K179" s="1" t="s">
        <v>484</v>
      </c>
    </row>
    <row r="180" spans="1:11" x14ac:dyDescent="0.2">
      <c r="A180" s="90" t="s">
        <v>635</v>
      </c>
      <c r="B180" s="90" t="s">
        <v>433</v>
      </c>
      <c r="C180" s="90">
        <v>152715669</v>
      </c>
      <c r="D180" s="39">
        <v>1</v>
      </c>
      <c r="E180" s="39" t="s">
        <v>421</v>
      </c>
      <c r="F180" s="79">
        <v>42383</v>
      </c>
      <c r="G180" s="79">
        <f t="shared" ref="G180" si="21">F180+(D180*365)</f>
        <v>42748</v>
      </c>
      <c r="H180" s="125" t="s">
        <v>418</v>
      </c>
      <c r="I180" s="38" t="s">
        <v>679</v>
      </c>
      <c r="J180" s="98" t="s">
        <v>639</v>
      </c>
      <c r="K180" s="1" t="s">
        <v>484</v>
      </c>
    </row>
    <row r="181" spans="1:11" x14ac:dyDescent="0.2">
      <c r="A181" s="90" t="s">
        <v>635</v>
      </c>
      <c r="B181" s="90" t="s">
        <v>433</v>
      </c>
      <c r="C181" s="90">
        <v>152715674</v>
      </c>
      <c r="D181" s="39">
        <v>1</v>
      </c>
      <c r="E181" s="39" t="s">
        <v>421</v>
      </c>
      <c r="F181" s="79">
        <v>42658</v>
      </c>
      <c r="G181" s="79">
        <f t="shared" ref="G181" si="22">F181+(D181*365)</f>
        <v>43023</v>
      </c>
      <c r="H181" s="125" t="s">
        <v>418</v>
      </c>
      <c r="I181" s="38" t="s">
        <v>678</v>
      </c>
      <c r="J181" s="98" t="s">
        <v>639</v>
      </c>
      <c r="K181" s="1" t="s">
        <v>484</v>
      </c>
    </row>
    <row r="182" spans="1:11" x14ac:dyDescent="0.2">
      <c r="A182" s="90" t="s">
        <v>635</v>
      </c>
      <c r="B182" s="90" t="s">
        <v>433</v>
      </c>
      <c r="C182" s="90">
        <v>152735843</v>
      </c>
      <c r="D182" s="39">
        <v>1</v>
      </c>
      <c r="E182" s="39" t="s">
        <v>421</v>
      </c>
      <c r="F182" s="79">
        <v>42292</v>
      </c>
      <c r="G182" s="79">
        <f t="shared" ref="G182:G185" si="23">F182+(D182*365)</f>
        <v>42657</v>
      </c>
      <c r="H182" s="125" t="s">
        <v>418</v>
      </c>
      <c r="I182" s="38" t="s">
        <v>464</v>
      </c>
      <c r="J182" s="98" t="s">
        <v>639</v>
      </c>
      <c r="K182" s="1" t="s">
        <v>484</v>
      </c>
    </row>
    <row r="183" spans="1:11" x14ac:dyDescent="0.2">
      <c r="A183" s="90" t="s">
        <v>635</v>
      </c>
      <c r="B183" s="90" t="s">
        <v>433</v>
      </c>
      <c r="C183" s="90">
        <v>152735842</v>
      </c>
      <c r="D183" s="39">
        <v>1</v>
      </c>
      <c r="E183" s="39" t="s">
        <v>421</v>
      </c>
      <c r="F183" s="79">
        <v>42292</v>
      </c>
      <c r="G183" s="79">
        <f t="shared" si="23"/>
        <v>42657</v>
      </c>
      <c r="H183" s="125" t="s">
        <v>418</v>
      </c>
      <c r="I183" s="38"/>
      <c r="J183" s="98" t="s">
        <v>639</v>
      </c>
      <c r="K183" s="1" t="s">
        <v>484</v>
      </c>
    </row>
    <row r="184" spans="1:11" x14ac:dyDescent="0.2">
      <c r="A184" s="90" t="s">
        <v>635</v>
      </c>
      <c r="B184" s="90" t="s">
        <v>433</v>
      </c>
      <c r="C184" s="90">
        <v>152735845</v>
      </c>
      <c r="D184" s="39">
        <v>1</v>
      </c>
      <c r="E184" s="39" t="s">
        <v>561</v>
      </c>
      <c r="F184" s="79">
        <v>42292</v>
      </c>
      <c r="G184" s="79">
        <f t="shared" si="23"/>
        <v>42657</v>
      </c>
      <c r="H184" s="125" t="s">
        <v>770</v>
      </c>
      <c r="I184" s="119" t="s">
        <v>805</v>
      </c>
      <c r="J184" s="98" t="s">
        <v>639</v>
      </c>
      <c r="K184" s="1" t="s">
        <v>484</v>
      </c>
    </row>
    <row r="185" spans="1:11" x14ac:dyDescent="0.2">
      <c r="A185" s="90" t="s">
        <v>635</v>
      </c>
      <c r="B185" s="90" t="s">
        <v>433</v>
      </c>
      <c r="C185" s="90">
        <v>152735844</v>
      </c>
      <c r="D185" s="39">
        <v>1</v>
      </c>
      <c r="E185" s="39" t="s">
        <v>421</v>
      </c>
      <c r="F185" s="79">
        <v>42292</v>
      </c>
      <c r="G185" s="79">
        <f t="shared" si="23"/>
        <v>42657</v>
      </c>
      <c r="H185" s="125" t="s">
        <v>418</v>
      </c>
      <c r="I185" s="38"/>
      <c r="J185" s="98" t="s">
        <v>639</v>
      </c>
      <c r="K185" s="1" t="s">
        <v>484</v>
      </c>
    </row>
    <row r="186" spans="1:11" x14ac:dyDescent="0.2">
      <c r="A186" s="90" t="s">
        <v>799</v>
      </c>
      <c r="B186" s="90" t="s">
        <v>798</v>
      </c>
      <c r="C186" s="90" t="s">
        <v>789</v>
      </c>
      <c r="D186" s="39">
        <v>1</v>
      </c>
      <c r="E186" s="39" t="s">
        <v>421</v>
      </c>
      <c r="F186" s="79">
        <v>42145</v>
      </c>
      <c r="G186" s="79">
        <f t="shared" ref="G186" si="24">F186+(D186*365)</f>
        <v>42510</v>
      </c>
      <c r="H186" s="38"/>
      <c r="I186" s="38"/>
      <c r="J186" s="98"/>
      <c r="K186" s="1" t="s">
        <v>599</v>
      </c>
    </row>
    <row r="187" spans="1:11" x14ac:dyDescent="0.2">
      <c r="A187" s="90" t="s">
        <v>460</v>
      </c>
      <c r="B187" s="90"/>
      <c r="C187" s="90">
        <v>452469</v>
      </c>
      <c r="D187" s="39">
        <v>1</v>
      </c>
      <c r="E187" s="39" t="s">
        <v>411</v>
      </c>
      <c r="F187" s="79">
        <v>41568</v>
      </c>
      <c r="G187" s="79">
        <f t="shared" si="14"/>
        <v>41933</v>
      </c>
      <c r="H187" s="38" t="s">
        <v>800</v>
      </c>
      <c r="I187" s="38"/>
      <c r="J187" s="98"/>
      <c r="K187" s="1" t="s">
        <v>485</v>
      </c>
    </row>
    <row r="188" spans="1:11" ht="12" customHeight="1" x14ac:dyDescent="0.2">
      <c r="A188" s="90" t="s">
        <v>617</v>
      </c>
      <c r="B188" s="90" t="s">
        <v>605</v>
      </c>
      <c r="C188" s="90" t="s">
        <v>586</v>
      </c>
      <c r="D188" s="39">
        <v>1</v>
      </c>
      <c r="E188" s="39" t="s">
        <v>421</v>
      </c>
      <c r="F188" s="79">
        <v>42157</v>
      </c>
      <c r="G188" s="79">
        <f t="shared" si="14"/>
        <v>42522</v>
      </c>
      <c r="H188" s="38" t="s">
        <v>437</v>
      </c>
      <c r="I188" s="38"/>
      <c r="J188" s="98"/>
      <c r="K188" s="1" t="s">
        <v>490</v>
      </c>
    </row>
    <row r="189" spans="1:11" x14ac:dyDescent="0.2">
      <c r="A189" s="90" t="s">
        <v>617</v>
      </c>
      <c r="B189" s="90" t="s">
        <v>605</v>
      </c>
      <c r="C189" s="90" t="s">
        <v>587</v>
      </c>
      <c r="D189" s="39">
        <v>1</v>
      </c>
      <c r="E189" s="39" t="s">
        <v>421</v>
      </c>
      <c r="F189" s="79">
        <v>42157</v>
      </c>
      <c r="G189" s="79">
        <f t="shared" si="14"/>
        <v>42522</v>
      </c>
      <c r="H189" s="38" t="s">
        <v>437</v>
      </c>
      <c r="I189" s="38"/>
      <c r="J189" s="98"/>
      <c r="K189" s="1" t="s">
        <v>490</v>
      </c>
    </row>
    <row r="190" spans="1:11" x14ac:dyDescent="0.2">
      <c r="A190" s="90" t="s">
        <v>618</v>
      </c>
      <c r="B190" s="90" t="s">
        <v>605</v>
      </c>
      <c r="C190" s="90" t="s">
        <v>588</v>
      </c>
      <c r="D190" s="39">
        <v>1</v>
      </c>
      <c r="E190" s="39" t="s">
        <v>421</v>
      </c>
      <c r="F190" s="79">
        <v>42157</v>
      </c>
      <c r="G190" s="79">
        <f t="shared" si="14"/>
        <v>42522</v>
      </c>
      <c r="H190" s="38" t="s">
        <v>437</v>
      </c>
      <c r="I190" s="38"/>
      <c r="J190" s="98"/>
      <c r="K190" s="1" t="s">
        <v>490</v>
      </c>
    </row>
    <row r="191" spans="1:11" x14ac:dyDescent="0.2">
      <c r="A191" s="90" t="s">
        <v>617</v>
      </c>
      <c r="B191" s="90" t="s">
        <v>605</v>
      </c>
      <c r="C191" s="90" t="s">
        <v>504</v>
      </c>
      <c r="D191" s="39">
        <v>1</v>
      </c>
      <c r="E191" s="39" t="s">
        <v>421</v>
      </c>
      <c r="F191" s="79">
        <v>42157</v>
      </c>
      <c r="G191" s="79">
        <f t="shared" si="14"/>
        <v>42522</v>
      </c>
      <c r="H191" s="38" t="s">
        <v>437</v>
      </c>
      <c r="I191" s="38"/>
      <c r="J191" s="98"/>
      <c r="K191" s="1" t="s">
        <v>490</v>
      </c>
    </row>
    <row r="192" spans="1:11" x14ac:dyDescent="0.2">
      <c r="A192" s="90" t="s">
        <v>617</v>
      </c>
      <c r="B192" s="90" t="s">
        <v>605</v>
      </c>
      <c r="C192" s="90" t="s">
        <v>505</v>
      </c>
      <c r="D192" s="39">
        <v>1</v>
      </c>
      <c r="E192" s="39" t="s">
        <v>421</v>
      </c>
      <c r="F192" s="79">
        <v>42157</v>
      </c>
      <c r="G192" s="79">
        <f t="shared" si="14"/>
        <v>42522</v>
      </c>
      <c r="H192" s="38" t="s">
        <v>437</v>
      </c>
      <c r="I192" s="38"/>
      <c r="J192" s="98"/>
      <c r="K192" s="1" t="s">
        <v>490</v>
      </c>
    </row>
    <row r="193" spans="1:681" x14ac:dyDescent="0.2">
      <c r="A193" s="90" t="s">
        <v>617</v>
      </c>
      <c r="B193" s="90" t="s">
        <v>605</v>
      </c>
      <c r="C193" s="90" t="s">
        <v>503</v>
      </c>
      <c r="D193" s="39">
        <v>1</v>
      </c>
      <c r="E193" s="39" t="s">
        <v>421</v>
      </c>
      <c r="F193" s="79">
        <v>42157</v>
      </c>
      <c r="G193" s="79">
        <f t="shared" si="14"/>
        <v>42522</v>
      </c>
      <c r="H193" s="38" t="s">
        <v>437</v>
      </c>
      <c r="I193" s="38"/>
      <c r="J193" s="98"/>
      <c r="K193" s="1" t="s">
        <v>490</v>
      </c>
    </row>
    <row r="194" spans="1:681" x14ac:dyDescent="0.2">
      <c r="A194" s="90" t="s">
        <v>459</v>
      </c>
      <c r="B194" s="90"/>
      <c r="C194" s="90">
        <v>134782</v>
      </c>
      <c r="D194" s="39">
        <v>1</v>
      </c>
      <c r="E194" s="39" t="s">
        <v>411</v>
      </c>
      <c r="F194" s="79">
        <v>41570</v>
      </c>
      <c r="G194" s="79">
        <f t="shared" si="14"/>
        <v>41935</v>
      </c>
      <c r="H194" s="38" t="s">
        <v>801</v>
      </c>
      <c r="I194" s="38"/>
      <c r="J194" s="98"/>
      <c r="K194" s="1" t="s">
        <v>485</v>
      </c>
    </row>
    <row r="195" spans="1:681" x14ac:dyDescent="0.2">
      <c r="A195" s="90" t="s">
        <v>606</v>
      </c>
      <c r="B195" s="90" t="s">
        <v>605</v>
      </c>
      <c r="C195" s="90" t="s">
        <v>93</v>
      </c>
      <c r="D195" s="39">
        <v>1</v>
      </c>
      <c r="E195" s="39" t="s">
        <v>421</v>
      </c>
      <c r="F195" s="79">
        <v>42348</v>
      </c>
      <c r="G195" s="79">
        <f t="shared" si="14"/>
        <v>42713</v>
      </c>
      <c r="H195" s="38" t="s">
        <v>436</v>
      </c>
      <c r="I195" s="38"/>
      <c r="J195" s="98"/>
      <c r="K195" s="1" t="s">
        <v>484</v>
      </c>
    </row>
    <row r="196" spans="1:681" x14ac:dyDescent="0.2">
      <c r="A196" s="90" t="s">
        <v>606</v>
      </c>
      <c r="B196" s="90" t="s">
        <v>605</v>
      </c>
      <c r="C196" s="90" t="s">
        <v>94</v>
      </c>
      <c r="D196" s="39">
        <v>1</v>
      </c>
      <c r="E196" s="39" t="s">
        <v>421</v>
      </c>
      <c r="F196" s="79">
        <v>42348</v>
      </c>
      <c r="G196" s="79">
        <f t="shared" si="14"/>
        <v>42713</v>
      </c>
      <c r="H196" s="38" t="s">
        <v>436</v>
      </c>
      <c r="I196" s="38"/>
      <c r="J196" s="98"/>
      <c r="K196" s="1" t="s">
        <v>484</v>
      </c>
    </row>
    <row r="197" spans="1:681" x14ac:dyDescent="0.2">
      <c r="A197" s="90" t="s">
        <v>606</v>
      </c>
      <c r="B197" s="90" t="s">
        <v>605</v>
      </c>
      <c r="C197" s="90" t="s">
        <v>95</v>
      </c>
      <c r="D197" s="39">
        <v>1</v>
      </c>
      <c r="E197" s="39" t="s">
        <v>421</v>
      </c>
      <c r="F197" s="79">
        <v>42348</v>
      </c>
      <c r="G197" s="79">
        <f t="shared" si="14"/>
        <v>42713</v>
      </c>
      <c r="H197" s="38" t="s">
        <v>436</v>
      </c>
      <c r="I197" s="38"/>
      <c r="J197" s="98"/>
      <c r="K197" s="1" t="s">
        <v>484</v>
      </c>
    </row>
    <row r="198" spans="1:681" x14ac:dyDescent="0.2">
      <c r="A198" s="90" t="s">
        <v>606</v>
      </c>
      <c r="B198" s="90" t="s">
        <v>605</v>
      </c>
      <c r="C198" s="90" t="s">
        <v>143</v>
      </c>
      <c r="D198" s="39">
        <v>1</v>
      </c>
      <c r="E198" s="39" t="s">
        <v>421</v>
      </c>
      <c r="F198" s="79">
        <v>42348</v>
      </c>
      <c r="G198" s="79">
        <f t="shared" si="14"/>
        <v>42713</v>
      </c>
      <c r="H198" s="38" t="s">
        <v>436</v>
      </c>
      <c r="I198" s="38"/>
      <c r="J198" s="98"/>
      <c r="K198" s="1" t="s">
        <v>484</v>
      </c>
    </row>
    <row r="199" spans="1:681" x14ac:dyDescent="0.2">
      <c r="A199" s="90" t="s">
        <v>606</v>
      </c>
      <c r="B199" s="90" t="s">
        <v>605</v>
      </c>
      <c r="C199" s="90" t="s">
        <v>583</v>
      </c>
      <c r="D199" s="39">
        <v>1</v>
      </c>
      <c r="E199" s="39" t="s">
        <v>421</v>
      </c>
      <c r="F199" s="79">
        <v>42348</v>
      </c>
      <c r="G199" s="79">
        <f t="shared" si="14"/>
        <v>42713</v>
      </c>
      <c r="H199" s="38" t="s">
        <v>436</v>
      </c>
      <c r="I199" s="38"/>
      <c r="J199" s="98"/>
      <c r="K199" s="1" t="s">
        <v>484</v>
      </c>
    </row>
    <row r="200" spans="1:681" x14ac:dyDescent="0.2">
      <c r="A200" s="90" t="s">
        <v>606</v>
      </c>
      <c r="B200" s="90" t="s">
        <v>605</v>
      </c>
      <c r="C200" s="90" t="s">
        <v>584</v>
      </c>
      <c r="D200" s="39">
        <v>1</v>
      </c>
      <c r="E200" s="39" t="s">
        <v>421</v>
      </c>
      <c r="F200" s="79">
        <v>42348</v>
      </c>
      <c r="G200" s="79">
        <f t="shared" si="14"/>
        <v>42713</v>
      </c>
      <c r="H200" s="38" t="s">
        <v>436</v>
      </c>
      <c r="I200" s="38"/>
      <c r="J200" s="98"/>
      <c r="K200" s="1" t="s">
        <v>484</v>
      </c>
    </row>
    <row r="201" spans="1:681" x14ac:dyDescent="0.2">
      <c r="A201" s="90" t="s">
        <v>607</v>
      </c>
      <c r="B201" s="90" t="s">
        <v>605</v>
      </c>
      <c r="C201" s="90" t="s">
        <v>96</v>
      </c>
      <c r="D201" s="39">
        <v>1</v>
      </c>
      <c r="E201" s="39" t="s">
        <v>421</v>
      </c>
      <c r="F201" s="79">
        <v>42453</v>
      </c>
      <c r="G201" s="79">
        <f t="shared" si="14"/>
        <v>42818</v>
      </c>
      <c r="H201" s="38" t="s">
        <v>418</v>
      </c>
      <c r="I201" s="38" t="s">
        <v>757</v>
      </c>
      <c r="J201" s="98"/>
      <c r="K201" s="1" t="s">
        <v>484</v>
      </c>
    </row>
    <row r="202" spans="1:681" x14ac:dyDescent="0.2">
      <c r="A202" s="90" t="s">
        <v>607</v>
      </c>
      <c r="B202" s="90" t="s">
        <v>605</v>
      </c>
      <c r="C202" s="90" t="s">
        <v>97</v>
      </c>
      <c r="D202" s="39">
        <v>1</v>
      </c>
      <c r="E202" s="39" t="s">
        <v>421</v>
      </c>
      <c r="F202" s="79">
        <v>42453</v>
      </c>
      <c r="G202" s="79">
        <f t="shared" si="14"/>
        <v>42818</v>
      </c>
      <c r="H202" s="38" t="s">
        <v>418</v>
      </c>
      <c r="I202" s="38" t="s">
        <v>757</v>
      </c>
      <c r="J202" s="98"/>
      <c r="K202" s="1" t="s">
        <v>484</v>
      </c>
    </row>
    <row r="203" spans="1:681" x14ac:dyDescent="0.2">
      <c r="A203" s="90" t="s">
        <v>787</v>
      </c>
      <c r="B203" s="90" t="s">
        <v>605</v>
      </c>
      <c r="C203" s="90" t="s">
        <v>141</v>
      </c>
      <c r="D203" s="39">
        <v>1</v>
      </c>
      <c r="E203" s="39" t="s">
        <v>421</v>
      </c>
      <c r="F203" s="79">
        <v>42347</v>
      </c>
      <c r="G203" s="79">
        <f t="shared" si="14"/>
        <v>42712</v>
      </c>
      <c r="H203" s="38" t="s">
        <v>580</v>
      </c>
      <c r="I203" s="38" t="s">
        <v>337</v>
      </c>
      <c r="J203" s="98"/>
      <c r="K203" s="1" t="s">
        <v>484</v>
      </c>
    </row>
    <row r="204" spans="1:681" x14ac:dyDescent="0.2">
      <c r="A204" s="90" t="s">
        <v>787</v>
      </c>
      <c r="B204" s="90" t="s">
        <v>605</v>
      </c>
      <c r="C204" s="90" t="s">
        <v>185</v>
      </c>
      <c r="D204" s="39">
        <v>1</v>
      </c>
      <c r="E204" s="39" t="s">
        <v>561</v>
      </c>
      <c r="F204" s="79">
        <v>42041</v>
      </c>
      <c r="G204" s="79">
        <f t="shared" si="14"/>
        <v>42406</v>
      </c>
      <c r="H204" s="38" t="s">
        <v>681</v>
      </c>
      <c r="I204" s="38" t="s">
        <v>682</v>
      </c>
      <c r="J204" s="98"/>
      <c r="K204" s="1" t="s">
        <v>485</v>
      </c>
    </row>
    <row r="205" spans="1:681" s="30" customFormat="1" x14ac:dyDescent="0.2">
      <c r="A205" s="90" t="s">
        <v>787</v>
      </c>
      <c r="B205" s="90" t="s">
        <v>605</v>
      </c>
      <c r="C205" s="90" t="s">
        <v>98</v>
      </c>
      <c r="D205" s="39">
        <v>1</v>
      </c>
      <c r="E205" s="39" t="s">
        <v>472</v>
      </c>
      <c r="F205" s="79">
        <v>41953</v>
      </c>
      <c r="G205" s="79">
        <f t="shared" ref="G205:G271" si="25">F205+(D205*365)</f>
        <v>42318</v>
      </c>
      <c r="H205" s="38" t="s">
        <v>445</v>
      </c>
      <c r="I205" s="38" t="s">
        <v>446</v>
      </c>
      <c r="J205" s="98" t="s">
        <v>435</v>
      </c>
      <c r="K205" s="1" t="s">
        <v>472</v>
      </c>
    </row>
    <row r="206" spans="1:681" s="30" customFormat="1" x14ac:dyDescent="0.2">
      <c r="A206" s="90" t="s">
        <v>787</v>
      </c>
      <c r="B206" s="90" t="s">
        <v>605</v>
      </c>
      <c r="C206" s="90" t="s">
        <v>99</v>
      </c>
      <c r="D206" s="39">
        <v>1</v>
      </c>
      <c r="E206" s="39" t="s">
        <v>411</v>
      </c>
      <c r="F206" s="79"/>
      <c r="G206" s="79">
        <f t="shared" si="25"/>
        <v>365</v>
      </c>
      <c r="H206" s="38" t="s">
        <v>565</v>
      </c>
      <c r="I206" s="38" t="s">
        <v>230</v>
      </c>
      <c r="J206" s="98"/>
      <c r="K206" s="1" t="s">
        <v>485</v>
      </c>
    </row>
    <row r="207" spans="1:681" x14ac:dyDescent="0.2">
      <c r="A207" s="90" t="s">
        <v>787</v>
      </c>
      <c r="B207" s="90" t="s">
        <v>605</v>
      </c>
      <c r="C207" s="90" t="s">
        <v>100</v>
      </c>
      <c r="D207" s="39">
        <v>1</v>
      </c>
      <c r="E207" s="39" t="s">
        <v>421</v>
      </c>
      <c r="F207" s="79">
        <v>42347</v>
      </c>
      <c r="G207" s="79">
        <f t="shared" si="25"/>
        <v>42712</v>
      </c>
      <c r="H207" s="38" t="s">
        <v>563</v>
      </c>
      <c r="I207" s="38"/>
      <c r="J207" s="98"/>
      <c r="K207" s="1" t="s">
        <v>484</v>
      </c>
      <c r="P207" s="30"/>
      <c r="Q207" s="30"/>
      <c r="R207" s="30"/>
      <c r="S207" s="30"/>
      <c r="T207" s="30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/>
      <c r="AG207" s="30"/>
      <c r="AH207" s="30"/>
      <c r="AI207" s="30"/>
      <c r="AJ207" s="30"/>
      <c r="AK207" s="30"/>
      <c r="AL207" s="30"/>
      <c r="AM207" s="30"/>
      <c r="AN207" s="30"/>
      <c r="AO207" s="30"/>
      <c r="AP207" s="30"/>
      <c r="AQ207" s="30"/>
      <c r="AR207" s="30"/>
      <c r="AS207" s="30"/>
      <c r="AT207" s="30"/>
      <c r="AU207" s="30"/>
      <c r="AV207" s="30"/>
      <c r="AW207" s="30"/>
      <c r="AX207" s="30"/>
      <c r="AY207" s="30"/>
      <c r="AZ207" s="30"/>
      <c r="BA207" s="30"/>
      <c r="BB207" s="30"/>
      <c r="BC207" s="30"/>
      <c r="BD207" s="30"/>
      <c r="BE207" s="30"/>
      <c r="BF207" s="30"/>
      <c r="BG207" s="30"/>
      <c r="BH207" s="30"/>
      <c r="BI207" s="30"/>
      <c r="BJ207" s="30"/>
      <c r="BK207" s="30"/>
      <c r="BL207" s="30"/>
      <c r="BM207" s="30"/>
      <c r="BN207" s="30"/>
      <c r="BO207" s="30"/>
      <c r="BP207" s="3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  <c r="DB207" s="30"/>
      <c r="DC207" s="30"/>
      <c r="DD207" s="30"/>
      <c r="DE207" s="30"/>
      <c r="DF207" s="30"/>
      <c r="DG207" s="30"/>
      <c r="DH207" s="30"/>
      <c r="DI207" s="30"/>
      <c r="DJ207" s="30"/>
      <c r="DK207" s="30"/>
      <c r="DL207" s="30"/>
      <c r="DM207" s="30"/>
      <c r="DN207" s="30"/>
      <c r="DO207" s="30"/>
      <c r="DP207" s="30"/>
      <c r="DQ207" s="30"/>
      <c r="DR207" s="30"/>
      <c r="DS207" s="30"/>
      <c r="DT207" s="30"/>
      <c r="DU207" s="30"/>
      <c r="DV207" s="30"/>
      <c r="DW207" s="30"/>
      <c r="DX207" s="30"/>
      <c r="DY207" s="30"/>
      <c r="DZ207" s="30"/>
      <c r="EA207" s="30"/>
      <c r="EB207" s="30"/>
      <c r="EC207" s="30"/>
      <c r="ED207" s="30"/>
      <c r="EE207" s="30"/>
      <c r="EF207" s="30"/>
      <c r="EG207" s="30"/>
      <c r="EH207" s="30"/>
      <c r="EI207" s="30"/>
      <c r="EJ207" s="30"/>
      <c r="EK207" s="30"/>
      <c r="EL207" s="30"/>
      <c r="EM207" s="30"/>
      <c r="EN207" s="30"/>
      <c r="EO207" s="30"/>
      <c r="EP207" s="30"/>
      <c r="EQ207" s="30"/>
      <c r="ER207" s="30"/>
      <c r="ES207" s="30"/>
      <c r="ET207" s="30"/>
      <c r="EU207" s="30"/>
      <c r="EV207" s="30"/>
      <c r="EW207" s="30"/>
      <c r="EX207" s="30"/>
      <c r="EY207" s="30"/>
      <c r="EZ207" s="30"/>
      <c r="FA207" s="30"/>
      <c r="FB207" s="30"/>
      <c r="FC207" s="30"/>
      <c r="FD207" s="30"/>
      <c r="FE207" s="30"/>
      <c r="FF207" s="30"/>
      <c r="FG207" s="30"/>
      <c r="FH207" s="30"/>
      <c r="FI207" s="30"/>
      <c r="FJ207" s="30"/>
      <c r="FK207" s="30"/>
      <c r="FL207" s="30"/>
      <c r="FM207" s="30"/>
      <c r="FN207" s="30"/>
      <c r="FO207" s="30"/>
      <c r="FP207" s="30"/>
      <c r="FQ207" s="30"/>
      <c r="FR207" s="30"/>
      <c r="FS207" s="30"/>
      <c r="FT207" s="30"/>
      <c r="FU207" s="30"/>
      <c r="FV207" s="30"/>
      <c r="FW207" s="30"/>
      <c r="FX207" s="30"/>
      <c r="FY207" s="30"/>
      <c r="FZ207" s="30"/>
      <c r="GA207" s="30"/>
      <c r="GB207" s="30"/>
      <c r="GC207" s="30"/>
      <c r="GD207" s="30"/>
      <c r="GE207" s="30"/>
      <c r="GF207" s="30"/>
      <c r="GG207" s="30"/>
      <c r="GH207" s="30"/>
      <c r="GI207" s="30"/>
      <c r="GJ207" s="30"/>
      <c r="GK207" s="30"/>
      <c r="GL207" s="30"/>
      <c r="GM207" s="30"/>
      <c r="GN207" s="30"/>
      <c r="GO207" s="30"/>
      <c r="GP207" s="30"/>
      <c r="GQ207" s="30"/>
      <c r="GR207" s="30"/>
      <c r="GS207" s="30"/>
      <c r="GT207" s="30"/>
      <c r="GU207" s="30"/>
      <c r="GV207" s="30"/>
      <c r="GW207" s="30"/>
      <c r="GX207" s="30"/>
      <c r="GY207" s="30"/>
      <c r="GZ207" s="30"/>
      <c r="HA207" s="30"/>
      <c r="HB207" s="30"/>
      <c r="HC207" s="30"/>
      <c r="HD207" s="30"/>
      <c r="HE207" s="30"/>
      <c r="HF207" s="30"/>
      <c r="HG207" s="30"/>
      <c r="HH207" s="30"/>
      <c r="HI207" s="30"/>
      <c r="HJ207" s="30"/>
      <c r="HK207" s="30"/>
      <c r="HL207" s="30"/>
      <c r="HM207" s="30"/>
      <c r="HN207" s="30"/>
      <c r="HO207" s="30"/>
      <c r="HP207" s="30"/>
      <c r="HQ207" s="30"/>
      <c r="HR207" s="30"/>
      <c r="HS207" s="30"/>
      <c r="HT207" s="30"/>
      <c r="HU207" s="30"/>
      <c r="HV207" s="30"/>
      <c r="HW207" s="30"/>
      <c r="HX207" s="30"/>
      <c r="HY207" s="30"/>
      <c r="HZ207" s="30"/>
      <c r="IA207" s="30"/>
      <c r="IB207" s="30"/>
      <c r="IC207" s="30"/>
      <c r="ID207" s="30"/>
      <c r="IE207" s="30"/>
      <c r="IF207" s="30"/>
      <c r="IG207" s="30"/>
      <c r="IH207" s="30"/>
      <c r="II207" s="30"/>
      <c r="IJ207" s="30"/>
      <c r="IK207" s="30"/>
      <c r="IL207" s="30"/>
      <c r="IM207" s="30"/>
      <c r="IN207" s="30"/>
      <c r="IO207" s="30"/>
      <c r="IP207" s="30"/>
      <c r="IQ207" s="30"/>
      <c r="IR207" s="30"/>
      <c r="IS207" s="30"/>
      <c r="IT207" s="30"/>
      <c r="IU207" s="30"/>
      <c r="IV207" s="30"/>
      <c r="IW207" s="30"/>
      <c r="IX207" s="30"/>
      <c r="IY207" s="30"/>
      <c r="IZ207" s="30"/>
      <c r="JA207" s="30"/>
      <c r="JB207" s="30"/>
      <c r="JC207" s="30"/>
      <c r="JD207" s="30"/>
      <c r="JE207" s="30"/>
      <c r="JF207" s="30"/>
      <c r="JG207" s="30"/>
      <c r="JH207" s="30"/>
      <c r="JI207" s="30"/>
      <c r="JJ207" s="30"/>
      <c r="JK207" s="30"/>
      <c r="JL207" s="30"/>
      <c r="JM207" s="30"/>
      <c r="JN207" s="30"/>
      <c r="JO207" s="30"/>
      <c r="JP207" s="30"/>
      <c r="JQ207" s="30"/>
      <c r="JR207" s="30"/>
      <c r="JS207" s="30"/>
      <c r="JT207" s="30"/>
      <c r="JU207" s="30"/>
      <c r="JV207" s="30"/>
      <c r="JW207" s="30"/>
      <c r="JX207" s="30"/>
      <c r="JY207" s="30"/>
      <c r="JZ207" s="30"/>
      <c r="KA207" s="30"/>
      <c r="KB207" s="30"/>
      <c r="KC207" s="30"/>
      <c r="KD207" s="30"/>
      <c r="KE207" s="30"/>
      <c r="KF207" s="30"/>
      <c r="KG207" s="30"/>
      <c r="KH207" s="30"/>
      <c r="KI207" s="30"/>
      <c r="KJ207" s="30"/>
      <c r="KK207" s="30"/>
      <c r="KL207" s="30"/>
      <c r="KM207" s="30"/>
      <c r="KN207" s="30"/>
      <c r="KO207" s="30"/>
      <c r="KP207" s="30"/>
      <c r="KQ207" s="30"/>
      <c r="KR207" s="30"/>
      <c r="KS207" s="30"/>
      <c r="KT207" s="30"/>
      <c r="KU207" s="30"/>
      <c r="KV207" s="30"/>
      <c r="KW207" s="30"/>
      <c r="KX207" s="30"/>
      <c r="KY207" s="30"/>
      <c r="KZ207" s="30"/>
      <c r="LA207" s="30"/>
      <c r="LB207" s="30"/>
      <c r="LC207" s="30"/>
      <c r="LD207" s="30"/>
      <c r="LE207" s="30"/>
      <c r="LF207" s="30"/>
      <c r="LG207" s="30"/>
      <c r="LH207" s="30"/>
      <c r="LI207" s="30"/>
      <c r="LJ207" s="30"/>
      <c r="LK207" s="30"/>
      <c r="LL207" s="30"/>
      <c r="LM207" s="30"/>
      <c r="LN207" s="30"/>
      <c r="LO207" s="30"/>
      <c r="LP207" s="30"/>
      <c r="LQ207" s="30"/>
      <c r="LR207" s="30"/>
      <c r="LS207" s="30"/>
      <c r="LT207" s="30"/>
      <c r="LU207" s="30"/>
      <c r="LV207" s="30"/>
      <c r="LW207" s="30"/>
      <c r="LX207" s="30"/>
      <c r="LY207" s="30"/>
      <c r="LZ207" s="30"/>
      <c r="MA207" s="30"/>
      <c r="MB207" s="30"/>
      <c r="MC207" s="30"/>
      <c r="MD207" s="30"/>
      <c r="ME207" s="30"/>
      <c r="MF207" s="30"/>
      <c r="MG207" s="30"/>
      <c r="MH207" s="30"/>
      <c r="MI207" s="30"/>
      <c r="MJ207" s="30"/>
      <c r="MK207" s="30"/>
      <c r="ML207" s="30"/>
      <c r="MM207" s="30"/>
      <c r="MN207" s="30"/>
      <c r="MO207" s="30"/>
      <c r="MP207" s="30"/>
      <c r="MQ207" s="30"/>
      <c r="MR207" s="30"/>
      <c r="MS207" s="30"/>
      <c r="MT207" s="30"/>
      <c r="MU207" s="30"/>
      <c r="MV207" s="30"/>
      <c r="MW207" s="30"/>
      <c r="MX207" s="30"/>
      <c r="MY207" s="30"/>
      <c r="MZ207" s="30"/>
      <c r="NA207" s="30"/>
      <c r="NB207" s="30"/>
      <c r="NC207" s="30"/>
      <c r="ND207" s="30"/>
      <c r="NE207" s="30"/>
      <c r="NF207" s="30"/>
      <c r="NG207" s="30"/>
      <c r="NH207" s="30"/>
      <c r="NI207" s="30"/>
      <c r="NJ207" s="30"/>
      <c r="NK207" s="30"/>
      <c r="NL207" s="30"/>
      <c r="NM207" s="30"/>
      <c r="NN207" s="30"/>
      <c r="NO207" s="30"/>
      <c r="NP207" s="30"/>
      <c r="NQ207" s="30"/>
      <c r="NR207" s="30"/>
      <c r="NS207" s="30"/>
      <c r="NT207" s="30"/>
      <c r="NU207" s="30"/>
      <c r="NV207" s="30"/>
      <c r="NW207" s="30"/>
      <c r="NX207" s="30"/>
      <c r="NY207" s="30"/>
      <c r="NZ207" s="30"/>
      <c r="OA207" s="30"/>
      <c r="OB207" s="30"/>
      <c r="OC207" s="30"/>
      <c r="OD207" s="30"/>
      <c r="OE207" s="30"/>
      <c r="OF207" s="30"/>
      <c r="OG207" s="30"/>
      <c r="OH207" s="30"/>
      <c r="OI207" s="30"/>
      <c r="OJ207" s="30"/>
      <c r="OK207" s="30"/>
      <c r="OL207" s="30"/>
      <c r="OM207" s="30"/>
      <c r="ON207" s="30"/>
      <c r="OO207" s="30"/>
      <c r="OP207" s="30"/>
      <c r="OQ207" s="30"/>
      <c r="OR207" s="30"/>
      <c r="OS207" s="30"/>
      <c r="OT207" s="30"/>
      <c r="OU207" s="30"/>
      <c r="OV207" s="30"/>
      <c r="OW207" s="30"/>
      <c r="OX207" s="30"/>
      <c r="OY207" s="30"/>
      <c r="OZ207" s="30"/>
      <c r="PA207" s="30"/>
      <c r="PB207" s="30"/>
      <c r="PC207" s="30"/>
      <c r="PD207" s="30"/>
      <c r="PE207" s="30"/>
      <c r="PF207" s="30"/>
      <c r="PG207" s="30"/>
      <c r="PH207" s="30"/>
      <c r="PI207" s="30"/>
      <c r="PJ207" s="30"/>
      <c r="PK207" s="30"/>
      <c r="PL207" s="30"/>
      <c r="PM207" s="30"/>
      <c r="PN207" s="30"/>
      <c r="PO207" s="30"/>
      <c r="PP207" s="30"/>
      <c r="PQ207" s="30"/>
      <c r="PR207" s="30"/>
      <c r="PS207" s="30"/>
      <c r="PT207" s="30"/>
      <c r="PU207" s="30"/>
      <c r="PV207" s="30"/>
      <c r="PW207" s="30"/>
      <c r="PX207" s="30"/>
      <c r="PY207" s="30"/>
      <c r="PZ207" s="30"/>
      <c r="QA207" s="30"/>
      <c r="QB207" s="30"/>
      <c r="QC207" s="30"/>
      <c r="QD207" s="30"/>
      <c r="QE207" s="30"/>
      <c r="QF207" s="30"/>
      <c r="QG207" s="30"/>
      <c r="QH207" s="30"/>
      <c r="QI207" s="30"/>
      <c r="QJ207" s="30"/>
      <c r="QK207" s="30"/>
      <c r="QL207" s="30"/>
      <c r="QM207" s="30"/>
      <c r="QN207" s="30"/>
      <c r="QO207" s="30"/>
      <c r="QP207" s="30"/>
      <c r="QQ207" s="30"/>
      <c r="QR207" s="30"/>
      <c r="QS207" s="30"/>
      <c r="QT207" s="30"/>
      <c r="QU207" s="30"/>
      <c r="QV207" s="30"/>
      <c r="QW207" s="30"/>
      <c r="QX207" s="30"/>
      <c r="QY207" s="30"/>
      <c r="QZ207" s="30"/>
      <c r="RA207" s="30"/>
      <c r="RB207" s="30"/>
      <c r="RC207" s="30"/>
      <c r="RD207" s="30"/>
      <c r="RE207" s="30"/>
      <c r="RF207" s="30"/>
      <c r="RG207" s="30"/>
      <c r="RH207" s="30"/>
      <c r="RI207" s="30"/>
      <c r="RJ207" s="30"/>
      <c r="RK207" s="30"/>
      <c r="RL207" s="30"/>
      <c r="RM207" s="30"/>
      <c r="RN207" s="30"/>
      <c r="RO207" s="30"/>
      <c r="RP207" s="30"/>
      <c r="RQ207" s="30"/>
      <c r="RR207" s="30"/>
      <c r="RS207" s="30"/>
      <c r="RT207" s="30"/>
      <c r="RU207" s="30"/>
      <c r="RV207" s="30"/>
      <c r="RW207" s="30"/>
      <c r="RX207" s="30"/>
      <c r="RY207" s="30"/>
      <c r="RZ207" s="30"/>
      <c r="SA207" s="30"/>
      <c r="SB207" s="30"/>
      <c r="SC207" s="30"/>
      <c r="SD207" s="30"/>
      <c r="SE207" s="30"/>
      <c r="SF207" s="30"/>
      <c r="SG207" s="30"/>
      <c r="SH207" s="30"/>
      <c r="SI207" s="30"/>
      <c r="SJ207" s="30"/>
      <c r="SK207" s="30"/>
      <c r="SL207" s="30"/>
      <c r="SM207" s="30"/>
      <c r="SN207" s="30"/>
      <c r="SO207" s="30"/>
      <c r="SP207" s="30"/>
      <c r="SQ207" s="30"/>
      <c r="SR207" s="30"/>
      <c r="SS207" s="30"/>
      <c r="ST207" s="30"/>
      <c r="SU207" s="30"/>
      <c r="SV207" s="30"/>
      <c r="SW207" s="30"/>
      <c r="SX207" s="30"/>
      <c r="SY207" s="30"/>
      <c r="SZ207" s="30"/>
      <c r="TA207" s="30"/>
      <c r="TB207" s="30"/>
      <c r="TC207" s="30"/>
      <c r="TD207" s="30"/>
      <c r="TE207" s="30"/>
      <c r="TF207" s="30"/>
      <c r="TG207" s="30"/>
      <c r="TH207" s="30"/>
      <c r="TI207" s="30"/>
      <c r="TJ207" s="30"/>
      <c r="TK207" s="30"/>
      <c r="TL207" s="30"/>
      <c r="TM207" s="30"/>
      <c r="TN207" s="30"/>
      <c r="TO207" s="30"/>
      <c r="TP207" s="30"/>
      <c r="TQ207" s="30"/>
      <c r="TR207" s="30"/>
      <c r="TS207" s="30"/>
      <c r="TT207" s="30"/>
      <c r="TU207" s="30"/>
      <c r="TV207" s="30"/>
      <c r="TW207" s="30"/>
      <c r="TX207" s="30"/>
      <c r="TY207" s="30"/>
      <c r="TZ207" s="30"/>
      <c r="UA207" s="30"/>
      <c r="UB207" s="30"/>
      <c r="UC207" s="30"/>
      <c r="UD207" s="30"/>
      <c r="UE207" s="30"/>
      <c r="UF207" s="30"/>
      <c r="UG207" s="30"/>
      <c r="UH207" s="30"/>
      <c r="UI207" s="30"/>
      <c r="UJ207" s="30"/>
      <c r="UK207" s="30"/>
      <c r="UL207" s="30"/>
      <c r="UM207" s="30"/>
      <c r="UN207" s="30"/>
      <c r="UO207" s="30"/>
      <c r="UP207" s="30"/>
      <c r="UQ207" s="30"/>
      <c r="UR207" s="30"/>
      <c r="US207" s="30"/>
      <c r="UT207" s="30"/>
      <c r="UU207" s="30"/>
      <c r="UV207" s="30"/>
      <c r="UW207" s="30"/>
      <c r="UX207" s="30"/>
      <c r="UY207" s="30"/>
      <c r="UZ207" s="30"/>
      <c r="VA207" s="30"/>
      <c r="VB207" s="30"/>
      <c r="VC207" s="30"/>
      <c r="VD207" s="30"/>
      <c r="VE207" s="30"/>
      <c r="VF207" s="30"/>
      <c r="VG207" s="30"/>
      <c r="VH207" s="30"/>
      <c r="VI207" s="30"/>
      <c r="VJ207" s="30"/>
      <c r="VK207" s="30"/>
      <c r="VL207" s="30"/>
      <c r="VM207" s="30"/>
      <c r="VN207" s="30"/>
      <c r="VO207" s="30"/>
      <c r="VP207" s="30"/>
      <c r="VQ207" s="30"/>
      <c r="VR207" s="30"/>
      <c r="VS207" s="30"/>
      <c r="VT207" s="30"/>
      <c r="VU207" s="30"/>
      <c r="VV207" s="30"/>
      <c r="VW207" s="30"/>
      <c r="VX207" s="30"/>
      <c r="VY207" s="30"/>
      <c r="VZ207" s="30"/>
      <c r="WA207" s="30"/>
      <c r="WB207" s="30"/>
      <c r="WC207" s="30"/>
      <c r="WD207" s="30"/>
      <c r="WE207" s="30"/>
      <c r="WF207" s="30"/>
      <c r="WG207" s="30"/>
      <c r="WH207" s="30"/>
      <c r="WI207" s="30"/>
      <c r="WJ207" s="30"/>
      <c r="WK207" s="30"/>
      <c r="WL207" s="30"/>
      <c r="WM207" s="30"/>
      <c r="WN207" s="30"/>
      <c r="WO207" s="30"/>
      <c r="WP207" s="30"/>
      <c r="WQ207" s="30"/>
      <c r="WR207" s="30"/>
      <c r="WS207" s="30"/>
      <c r="WT207" s="30"/>
      <c r="WU207" s="30"/>
      <c r="WV207" s="30"/>
      <c r="WW207" s="30"/>
      <c r="WX207" s="30"/>
      <c r="WY207" s="30"/>
      <c r="WZ207" s="30"/>
      <c r="XA207" s="30"/>
      <c r="XB207" s="30"/>
      <c r="XC207" s="30"/>
      <c r="XD207" s="30"/>
      <c r="XE207" s="30"/>
      <c r="XF207" s="30"/>
      <c r="XG207" s="30"/>
      <c r="XH207" s="30"/>
      <c r="XI207" s="30"/>
      <c r="XJ207" s="30"/>
      <c r="XK207" s="30"/>
      <c r="XL207" s="30"/>
      <c r="XM207" s="30"/>
      <c r="XN207" s="30"/>
      <c r="XO207" s="30"/>
      <c r="XP207" s="30"/>
      <c r="XQ207" s="30"/>
      <c r="XR207" s="30"/>
      <c r="XS207" s="30"/>
      <c r="XT207" s="30"/>
      <c r="XU207" s="30"/>
      <c r="XV207" s="30"/>
      <c r="XW207" s="30"/>
      <c r="XX207" s="30"/>
      <c r="XY207" s="30"/>
      <c r="XZ207" s="30"/>
      <c r="YA207" s="30"/>
      <c r="YB207" s="30"/>
      <c r="YC207" s="30"/>
      <c r="YD207" s="30"/>
      <c r="YE207" s="30"/>
      <c r="YF207" s="30"/>
      <c r="YG207" s="30"/>
      <c r="YH207" s="30"/>
      <c r="YI207" s="30"/>
      <c r="YJ207" s="30"/>
      <c r="YK207" s="30"/>
      <c r="YL207" s="30"/>
      <c r="YM207" s="30"/>
      <c r="YN207" s="30"/>
      <c r="YO207" s="30"/>
      <c r="YP207" s="30"/>
      <c r="YQ207" s="30"/>
      <c r="YR207" s="30"/>
      <c r="YS207" s="30"/>
      <c r="YT207" s="30"/>
      <c r="YU207" s="30"/>
      <c r="YV207" s="30"/>
      <c r="YW207" s="30"/>
      <c r="YX207" s="30"/>
      <c r="YY207" s="30"/>
      <c r="YZ207" s="30"/>
      <c r="ZA207" s="30"/>
      <c r="ZB207" s="30"/>
      <c r="ZC207" s="30"/>
      <c r="ZD207" s="30"/>
      <c r="ZE207" s="30"/>
    </row>
    <row r="208" spans="1:681" s="28" customFormat="1" x14ac:dyDescent="0.2">
      <c r="A208" s="90" t="s">
        <v>787</v>
      </c>
      <c r="B208" s="90" t="s">
        <v>605</v>
      </c>
      <c r="C208" s="90" t="s">
        <v>582</v>
      </c>
      <c r="D208" s="39">
        <v>1</v>
      </c>
      <c r="E208" s="39" t="s">
        <v>411</v>
      </c>
      <c r="F208" s="79">
        <v>40982</v>
      </c>
      <c r="G208" s="79">
        <f t="shared" si="25"/>
        <v>41347</v>
      </c>
      <c r="H208" s="38" t="s">
        <v>563</v>
      </c>
      <c r="I208" s="38" t="s">
        <v>230</v>
      </c>
      <c r="J208" s="98"/>
      <c r="K208" s="1" t="s">
        <v>485</v>
      </c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/>
      <c r="AG208" s="30"/>
      <c r="AH208" s="30"/>
      <c r="AI208" s="30"/>
      <c r="AJ208" s="30"/>
      <c r="AK208" s="30"/>
      <c r="AL208" s="30"/>
      <c r="AM208" s="30"/>
      <c r="AN208" s="30"/>
      <c r="AO208" s="30"/>
      <c r="AP208" s="30"/>
      <c r="AQ208" s="30"/>
      <c r="AR208" s="30"/>
      <c r="AS208" s="30"/>
      <c r="AT208" s="30"/>
      <c r="AU208" s="30"/>
      <c r="AV208" s="30"/>
      <c r="AW208" s="30"/>
      <c r="AX208" s="30"/>
      <c r="AY208" s="30"/>
      <c r="AZ208" s="30"/>
      <c r="BA208" s="30"/>
      <c r="BB208" s="30"/>
      <c r="BC208" s="30"/>
      <c r="BD208" s="30"/>
      <c r="BE208" s="30"/>
      <c r="BF208" s="30"/>
      <c r="BG208" s="30"/>
      <c r="BH208" s="30"/>
      <c r="BI208" s="30"/>
      <c r="BJ208" s="30"/>
      <c r="BK208" s="30"/>
      <c r="BL208" s="30"/>
      <c r="BM208" s="30"/>
      <c r="BN208" s="30"/>
      <c r="BO208" s="30"/>
      <c r="BP208" s="30"/>
      <c r="BQ208" s="30"/>
      <c r="BR208" s="30"/>
      <c r="BS208" s="30"/>
      <c r="BT208" s="30"/>
      <c r="BU208" s="30"/>
      <c r="BV208" s="30"/>
      <c r="BW208" s="30"/>
      <c r="BX208" s="30"/>
      <c r="BY208" s="30"/>
      <c r="BZ208" s="30"/>
      <c r="CA208" s="30"/>
      <c r="CB208" s="30"/>
      <c r="CC208" s="30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30"/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0"/>
      <c r="DA208" s="30"/>
      <c r="DB208" s="30"/>
      <c r="DC208" s="30"/>
      <c r="DD208" s="30"/>
      <c r="DE208" s="30"/>
      <c r="DF208" s="30"/>
      <c r="DG208" s="30"/>
      <c r="DH208" s="30"/>
      <c r="DI208" s="30"/>
      <c r="DJ208" s="30"/>
      <c r="DK208" s="30"/>
      <c r="DL208" s="30"/>
      <c r="DM208" s="30"/>
      <c r="DN208" s="30"/>
      <c r="DO208" s="30"/>
      <c r="DP208" s="30"/>
      <c r="DQ208" s="30"/>
      <c r="DR208" s="30"/>
      <c r="DS208" s="30"/>
      <c r="DT208" s="30"/>
      <c r="DU208" s="30"/>
      <c r="DV208" s="30"/>
      <c r="DW208" s="30"/>
      <c r="DX208" s="30"/>
      <c r="DY208" s="30"/>
      <c r="DZ208" s="30"/>
      <c r="EA208" s="30"/>
      <c r="EB208" s="30"/>
      <c r="EC208" s="30"/>
      <c r="ED208" s="30"/>
      <c r="EE208" s="30"/>
      <c r="EF208" s="30"/>
      <c r="EG208" s="30"/>
      <c r="EH208" s="30"/>
      <c r="EI208" s="30"/>
      <c r="EJ208" s="30"/>
      <c r="EK208" s="30"/>
      <c r="EL208" s="30"/>
      <c r="EM208" s="30"/>
      <c r="EN208" s="30"/>
      <c r="EO208" s="30"/>
      <c r="EP208" s="30"/>
      <c r="EQ208" s="30"/>
      <c r="ER208" s="30"/>
      <c r="ES208" s="30"/>
      <c r="ET208" s="30"/>
      <c r="EU208" s="30"/>
      <c r="EV208" s="30"/>
      <c r="EW208" s="30"/>
      <c r="EX208" s="30"/>
      <c r="EY208" s="30"/>
      <c r="EZ208" s="30"/>
      <c r="FA208" s="30"/>
      <c r="FB208" s="30"/>
      <c r="FC208" s="30"/>
      <c r="FD208" s="30"/>
      <c r="FE208" s="30"/>
      <c r="FF208" s="30"/>
      <c r="FG208" s="30"/>
      <c r="FH208" s="30"/>
      <c r="FI208" s="30"/>
      <c r="FJ208" s="30"/>
      <c r="FK208" s="30"/>
      <c r="FL208" s="30"/>
      <c r="FM208" s="30"/>
      <c r="FN208" s="30"/>
      <c r="FO208" s="30"/>
      <c r="FP208" s="30"/>
      <c r="FQ208" s="30"/>
      <c r="FR208" s="30"/>
      <c r="FS208" s="30"/>
      <c r="FT208" s="30"/>
      <c r="FU208" s="30"/>
      <c r="FV208" s="30"/>
      <c r="FW208" s="30"/>
      <c r="FX208" s="30"/>
      <c r="FY208" s="30"/>
      <c r="FZ208" s="30"/>
      <c r="GA208" s="30"/>
      <c r="GB208" s="30"/>
      <c r="GC208" s="30"/>
      <c r="GD208" s="30"/>
      <c r="GE208" s="30"/>
      <c r="GF208" s="30"/>
      <c r="GG208" s="30"/>
      <c r="GH208" s="30"/>
      <c r="GI208" s="30"/>
      <c r="GJ208" s="30"/>
      <c r="GK208" s="30"/>
      <c r="GL208" s="30"/>
      <c r="GM208" s="30"/>
      <c r="GN208" s="30"/>
      <c r="GO208" s="30"/>
      <c r="GP208" s="30"/>
      <c r="GQ208" s="30"/>
      <c r="GR208" s="30"/>
      <c r="GS208" s="30"/>
      <c r="GT208" s="30"/>
      <c r="GU208" s="30"/>
      <c r="GV208" s="30"/>
      <c r="GW208" s="30"/>
      <c r="GX208" s="30"/>
      <c r="GY208" s="30"/>
      <c r="GZ208" s="30"/>
      <c r="HA208" s="30"/>
      <c r="HB208" s="30"/>
      <c r="HC208" s="30"/>
      <c r="HD208" s="30"/>
      <c r="HE208" s="30"/>
      <c r="HF208" s="30"/>
      <c r="HG208" s="30"/>
      <c r="HH208" s="30"/>
      <c r="HI208" s="30"/>
      <c r="HJ208" s="30"/>
      <c r="HK208" s="30"/>
      <c r="HL208" s="30"/>
      <c r="HM208" s="30"/>
      <c r="HN208" s="30"/>
      <c r="HO208" s="30"/>
      <c r="HP208" s="30"/>
      <c r="HQ208" s="30"/>
      <c r="HR208" s="30"/>
      <c r="HS208" s="30"/>
      <c r="HT208" s="30"/>
      <c r="HU208" s="30"/>
      <c r="HV208" s="30"/>
      <c r="HW208" s="30"/>
      <c r="HX208" s="30"/>
      <c r="HY208" s="30"/>
      <c r="HZ208" s="30"/>
      <c r="IA208" s="30"/>
      <c r="IB208" s="30"/>
      <c r="IC208" s="30"/>
      <c r="ID208" s="30"/>
      <c r="IE208" s="30"/>
      <c r="IF208" s="30"/>
      <c r="IG208" s="30"/>
      <c r="IH208" s="30"/>
      <c r="II208" s="30"/>
      <c r="IJ208" s="30"/>
      <c r="IK208" s="30"/>
      <c r="IL208" s="30"/>
      <c r="IM208" s="30"/>
      <c r="IN208" s="30"/>
      <c r="IO208" s="30"/>
      <c r="IP208" s="30"/>
      <c r="IQ208" s="30"/>
      <c r="IR208" s="30"/>
      <c r="IS208" s="30"/>
      <c r="IT208" s="30"/>
      <c r="IU208" s="30"/>
      <c r="IV208" s="30"/>
      <c r="IW208" s="30"/>
      <c r="IX208" s="30"/>
      <c r="IY208" s="30"/>
      <c r="IZ208" s="30"/>
      <c r="JA208" s="30"/>
      <c r="JB208" s="30"/>
      <c r="JC208" s="30"/>
      <c r="JD208" s="30"/>
      <c r="JE208" s="30"/>
      <c r="JF208" s="30"/>
      <c r="JG208" s="30"/>
      <c r="JH208" s="30"/>
      <c r="JI208" s="30"/>
      <c r="JJ208" s="30"/>
      <c r="JK208" s="30"/>
      <c r="JL208" s="30"/>
      <c r="JM208" s="30"/>
      <c r="JN208" s="30"/>
      <c r="JO208" s="30"/>
      <c r="JP208" s="30"/>
      <c r="JQ208" s="30"/>
      <c r="JR208" s="30"/>
      <c r="JS208" s="30"/>
      <c r="JT208" s="30"/>
      <c r="JU208" s="30"/>
      <c r="JV208" s="30"/>
      <c r="JW208" s="30"/>
      <c r="JX208" s="30"/>
      <c r="JY208" s="30"/>
      <c r="JZ208" s="30"/>
      <c r="KA208" s="30"/>
      <c r="KB208" s="30"/>
      <c r="KC208" s="30"/>
      <c r="KD208" s="30"/>
      <c r="KE208" s="30"/>
      <c r="KF208" s="30"/>
      <c r="KG208" s="30"/>
      <c r="KH208" s="30"/>
      <c r="KI208" s="30"/>
      <c r="KJ208" s="30"/>
      <c r="KK208" s="30"/>
      <c r="KL208" s="30"/>
      <c r="KM208" s="30"/>
      <c r="KN208" s="30"/>
      <c r="KO208" s="30"/>
      <c r="KP208" s="30"/>
      <c r="KQ208" s="30"/>
      <c r="KR208" s="30"/>
      <c r="KS208" s="30"/>
      <c r="KT208" s="30"/>
      <c r="KU208" s="30"/>
      <c r="KV208" s="30"/>
      <c r="KW208" s="30"/>
      <c r="KX208" s="30"/>
      <c r="KY208" s="30"/>
      <c r="KZ208" s="30"/>
      <c r="LA208" s="30"/>
      <c r="LB208" s="30"/>
      <c r="LC208" s="30"/>
      <c r="LD208" s="30"/>
      <c r="LE208" s="30"/>
      <c r="LF208" s="30"/>
      <c r="LG208" s="30"/>
      <c r="LH208" s="30"/>
      <c r="LI208" s="30"/>
      <c r="LJ208" s="30"/>
      <c r="LK208" s="30"/>
      <c r="LL208" s="30"/>
      <c r="LM208" s="30"/>
      <c r="LN208" s="30"/>
      <c r="LO208" s="30"/>
      <c r="LP208" s="30"/>
      <c r="LQ208" s="30"/>
      <c r="LR208" s="30"/>
      <c r="LS208" s="30"/>
      <c r="LT208" s="30"/>
      <c r="LU208" s="30"/>
      <c r="LV208" s="30"/>
      <c r="LW208" s="30"/>
      <c r="LX208" s="30"/>
      <c r="LY208" s="30"/>
      <c r="LZ208" s="30"/>
      <c r="MA208" s="30"/>
      <c r="MB208" s="30"/>
      <c r="MC208" s="30"/>
      <c r="MD208" s="30"/>
      <c r="ME208" s="30"/>
      <c r="MF208" s="30"/>
      <c r="MG208" s="30"/>
      <c r="MH208" s="30"/>
      <c r="MI208" s="30"/>
      <c r="MJ208" s="30"/>
      <c r="MK208" s="30"/>
      <c r="ML208" s="30"/>
      <c r="MM208" s="30"/>
      <c r="MN208" s="30"/>
      <c r="MO208" s="30"/>
      <c r="MP208" s="30"/>
      <c r="MQ208" s="30"/>
      <c r="MR208" s="30"/>
      <c r="MS208" s="30"/>
      <c r="MT208" s="30"/>
      <c r="MU208" s="30"/>
      <c r="MV208" s="30"/>
      <c r="MW208" s="30"/>
      <c r="MX208" s="30"/>
      <c r="MY208" s="30"/>
      <c r="MZ208" s="30"/>
      <c r="NA208" s="30"/>
      <c r="NB208" s="30"/>
      <c r="NC208" s="30"/>
      <c r="ND208" s="30"/>
      <c r="NE208" s="30"/>
      <c r="NF208" s="30"/>
      <c r="NG208" s="30"/>
      <c r="NH208" s="30"/>
      <c r="NI208" s="30"/>
      <c r="NJ208" s="30"/>
      <c r="NK208" s="30"/>
      <c r="NL208" s="30"/>
      <c r="NM208" s="30"/>
      <c r="NN208" s="30"/>
      <c r="NO208" s="30"/>
      <c r="NP208" s="30"/>
      <c r="NQ208" s="30"/>
      <c r="NR208" s="30"/>
      <c r="NS208" s="30"/>
      <c r="NT208" s="30"/>
      <c r="NU208" s="30"/>
      <c r="NV208" s="30"/>
      <c r="NW208" s="30"/>
      <c r="NX208" s="30"/>
      <c r="NY208" s="30"/>
      <c r="NZ208" s="30"/>
      <c r="OA208" s="30"/>
      <c r="OB208" s="30"/>
      <c r="OC208" s="30"/>
      <c r="OD208" s="30"/>
      <c r="OE208" s="30"/>
      <c r="OF208" s="30"/>
      <c r="OG208" s="30"/>
      <c r="OH208" s="30"/>
      <c r="OI208" s="30"/>
      <c r="OJ208" s="30"/>
      <c r="OK208" s="30"/>
      <c r="OL208" s="30"/>
      <c r="OM208" s="30"/>
      <c r="ON208" s="30"/>
      <c r="OO208" s="30"/>
      <c r="OP208" s="30"/>
      <c r="OQ208" s="30"/>
      <c r="OR208" s="30"/>
      <c r="OS208" s="30"/>
      <c r="OT208" s="30"/>
      <c r="OU208" s="30"/>
      <c r="OV208" s="30"/>
      <c r="OW208" s="30"/>
      <c r="OX208" s="30"/>
      <c r="OY208" s="30"/>
      <c r="OZ208" s="30"/>
      <c r="PA208" s="30"/>
      <c r="PB208" s="30"/>
      <c r="PC208" s="30"/>
      <c r="PD208" s="30"/>
      <c r="PE208" s="30"/>
      <c r="PF208" s="30"/>
      <c r="PG208" s="30"/>
      <c r="PH208" s="30"/>
      <c r="PI208" s="30"/>
      <c r="PJ208" s="30"/>
      <c r="PK208" s="30"/>
      <c r="PL208" s="30"/>
      <c r="PM208" s="30"/>
      <c r="PN208" s="30"/>
      <c r="PO208" s="30"/>
      <c r="PP208" s="30"/>
      <c r="PQ208" s="30"/>
      <c r="PR208" s="30"/>
      <c r="PS208" s="30"/>
      <c r="PT208" s="30"/>
      <c r="PU208" s="30"/>
      <c r="PV208" s="30"/>
      <c r="PW208" s="30"/>
      <c r="PX208" s="30"/>
      <c r="PY208" s="30"/>
      <c r="PZ208" s="30"/>
      <c r="QA208" s="30"/>
      <c r="QB208" s="30"/>
      <c r="QC208" s="30"/>
      <c r="QD208" s="30"/>
      <c r="QE208" s="30"/>
      <c r="QF208" s="30"/>
      <c r="QG208" s="30"/>
      <c r="QH208" s="30"/>
      <c r="QI208" s="30"/>
      <c r="QJ208" s="30"/>
      <c r="QK208" s="30"/>
      <c r="QL208" s="30"/>
      <c r="QM208" s="30"/>
      <c r="QN208" s="30"/>
      <c r="QO208" s="30"/>
      <c r="QP208" s="30"/>
      <c r="QQ208" s="30"/>
      <c r="QR208" s="30"/>
      <c r="QS208" s="30"/>
      <c r="QT208" s="30"/>
      <c r="QU208" s="30"/>
      <c r="QV208" s="30"/>
      <c r="QW208" s="30"/>
      <c r="QX208" s="30"/>
      <c r="QY208" s="30"/>
      <c r="QZ208" s="30"/>
      <c r="RA208" s="30"/>
      <c r="RB208" s="30"/>
      <c r="RC208" s="30"/>
      <c r="RD208" s="30"/>
      <c r="RE208" s="30"/>
      <c r="RF208" s="30"/>
      <c r="RG208" s="30"/>
      <c r="RH208" s="30"/>
      <c r="RI208" s="30"/>
      <c r="RJ208" s="30"/>
      <c r="RK208" s="30"/>
      <c r="RL208" s="30"/>
      <c r="RM208" s="30"/>
      <c r="RN208" s="30"/>
      <c r="RO208" s="30"/>
      <c r="RP208" s="30"/>
      <c r="RQ208" s="30"/>
      <c r="RR208" s="30"/>
      <c r="RS208" s="30"/>
      <c r="RT208" s="30"/>
      <c r="RU208" s="30"/>
      <c r="RV208" s="30"/>
      <c r="RW208" s="30"/>
      <c r="RX208" s="30"/>
      <c r="RY208" s="30"/>
      <c r="RZ208" s="30"/>
      <c r="SA208" s="30"/>
      <c r="SB208" s="30"/>
      <c r="SC208" s="30"/>
      <c r="SD208" s="30"/>
      <c r="SE208" s="30"/>
      <c r="SF208" s="30"/>
      <c r="SG208" s="30"/>
      <c r="SH208" s="30"/>
      <c r="SI208" s="30"/>
      <c r="SJ208" s="30"/>
      <c r="SK208" s="30"/>
      <c r="SL208" s="30"/>
      <c r="SM208" s="30"/>
      <c r="SN208" s="30"/>
      <c r="SO208" s="30"/>
      <c r="SP208" s="30"/>
      <c r="SQ208" s="30"/>
      <c r="SR208" s="30"/>
      <c r="SS208" s="30"/>
      <c r="ST208" s="30"/>
      <c r="SU208" s="30"/>
      <c r="SV208" s="30"/>
      <c r="SW208" s="30"/>
      <c r="SX208" s="30"/>
      <c r="SY208" s="30"/>
      <c r="SZ208" s="30"/>
      <c r="TA208" s="30"/>
      <c r="TB208" s="30"/>
      <c r="TC208" s="30"/>
      <c r="TD208" s="30"/>
      <c r="TE208" s="30"/>
      <c r="TF208" s="30"/>
      <c r="TG208" s="30"/>
      <c r="TH208" s="30"/>
      <c r="TI208" s="30"/>
      <c r="TJ208" s="30"/>
      <c r="TK208" s="30"/>
      <c r="TL208" s="30"/>
      <c r="TM208" s="30"/>
      <c r="TN208" s="30"/>
      <c r="TO208" s="30"/>
      <c r="TP208" s="30"/>
      <c r="TQ208" s="30"/>
      <c r="TR208" s="30"/>
      <c r="TS208" s="30"/>
      <c r="TT208" s="30"/>
      <c r="TU208" s="30"/>
      <c r="TV208" s="30"/>
      <c r="TW208" s="30"/>
      <c r="TX208" s="30"/>
      <c r="TY208" s="30"/>
      <c r="TZ208" s="30"/>
      <c r="UA208" s="30"/>
      <c r="UB208" s="30"/>
      <c r="UC208" s="30"/>
      <c r="UD208" s="30"/>
      <c r="UE208" s="30"/>
      <c r="UF208" s="30"/>
      <c r="UG208" s="30"/>
      <c r="UH208" s="30"/>
      <c r="UI208" s="30"/>
      <c r="UJ208" s="30"/>
      <c r="UK208" s="30"/>
      <c r="UL208" s="30"/>
      <c r="UM208" s="30"/>
      <c r="UN208" s="30"/>
      <c r="UO208" s="30"/>
      <c r="UP208" s="30"/>
      <c r="UQ208" s="30"/>
      <c r="UR208" s="30"/>
      <c r="US208" s="30"/>
      <c r="UT208" s="30"/>
      <c r="UU208" s="30"/>
      <c r="UV208" s="30"/>
      <c r="UW208" s="30"/>
      <c r="UX208" s="30"/>
      <c r="UY208" s="30"/>
      <c r="UZ208" s="30"/>
      <c r="VA208" s="30"/>
      <c r="VB208" s="30"/>
      <c r="VC208" s="30"/>
      <c r="VD208" s="30"/>
      <c r="VE208" s="30"/>
      <c r="VF208" s="30"/>
      <c r="VG208" s="30"/>
      <c r="VH208" s="30"/>
      <c r="VI208" s="30"/>
      <c r="VJ208" s="30"/>
      <c r="VK208" s="30"/>
      <c r="VL208" s="30"/>
      <c r="VM208" s="30"/>
      <c r="VN208" s="30"/>
      <c r="VO208" s="30"/>
      <c r="VP208" s="30"/>
      <c r="VQ208" s="30"/>
      <c r="VR208" s="30"/>
      <c r="VS208" s="30"/>
      <c r="VT208" s="30"/>
      <c r="VU208" s="30"/>
      <c r="VV208" s="30"/>
      <c r="VW208" s="30"/>
      <c r="VX208" s="30"/>
      <c r="VY208" s="30"/>
      <c r="VZ208" s="30"/>
      <c r="WA208" s="30"/>
      <c r="WB208" s="30"/>
      <c r="WC208" s="30"/>
      <c r="WD208" s="30"/>
      <c r="WE208" s="30"/>
      <c r="WF208" s="30"/>
      <c r="WG208" s="30"/>
      <c r="WH208" s="30"/>
      <c r="WI208" s="30"/>
      <c r="WJ208" s="30"/>
      <c r="WK208" s="30"/>
      <c r="WL208" s="30"/>
      <c r="WM208" s="30"/>
      <c r="WN208" s="30"/>
      <c r="WO208" s="30"/>
      <c r="WP208" s="30"/>
      <c r="WQ208" s="30"/>
      <c r="WR208" s="30"/>
      <c r="WS208" s="30"/>
      <c r="WT208" s="30"/>
      <c r="WU208" s="30"/>
      <c r="WV208" s="30"/>
      <c r="WW208" s="30"/>
      <c r="WX208" s="30"/>
      <c r="WY208" s="30"/>
      <c r="WZ208" s="30"/>
      <c r="XA208" s="30"/>
      <c r="XB208" s="30"/>
      <c r="XC208" s="30"/>
      <c r="XD208" s="30"/>
      <c r="XE208" s="30"/>
      <c r="XF208" s="30"/>
      <c r="XG208" s="30"/>
      <c r="XH208" s="30"/>
      <c r="XI208" s="30"/>
      <c r="XJ208" s="30"/>
      <c r="XK208" s="30"/>
      <c r="XL208" s="30"/>
      <c r="XM208" s="30"/>
      <c r="XN208" s="30"/>
      <c r="XO208" s="30"/>
      <c r="XP208" s="30"/>
      <c r="XQ208" s="30"/>
      <c r="XR208" s="30"/>
      <c r="XS208" s="30"/>
      <c r="XT208" s="30"/>
      <c r="XU208" s="30"/>
      <c r="XV208" s="30"/>
      <c r="XW208" s="30"/>
      <c r="XX208" s="30"/>
      <c r="XY208" s="30"/>
      <c r="XZ208" s="30"/>
      <c r="YA208" s="30"/>
      <c r="YB208" s="30"/>
      <c r="YC208" s="30"/>
      <c r="YD208" s="30"/>
      <c r="YE208" s="30"/>
      <c r="YF208" s="30"/>
      <c r="YG208" s="30"/>
      <c r="YH208" s="30"/>
      <c r="YI208" s="30"/>
      <c r="YJ208" s="30"/>
      <c r="YK208" s="30"/>
      <c r="YL208" s="30"/>
      <c r="YM208" s="30"/>
      <c r="YN208" s="30"/>
      <c r="YO208" s="30"/>
      <c r="YP208" s="30"/>
      <c r="YQ208" s="30"/>
      <c r="YR208" s="30"/>
      <c r="YS208" s="30"/>
      <c r="YT208" s="30"/>
      <c r="YU208" s="30"/>
      <c r="YV208" s="30"/>
      <c r="YW208" s="30"/>
      <c r="YX208" s="30"/>
      <c r="YY208" s="30"/>
      <c r="YZ208" s="30"/>
      <c r="ZA208" s="30"/>
      <c r="ZB208" s="30"/>
      <c r="ZC208" s="30"/>
      <c r="ZD208" s="30"/>
      <c r="ZE208" s="30"/>
    </row>
    <row r="209" spans="1:681" s="28" customFormat="1" x14ac:dyDescent="0.2">
      <c r="A209" s="90" t="s">
        <v>787</v>
      </c>
      <c r="B209" s="90" t="s">
        <v>605</v>
      </c>
      <c r="C209" s="90" t="s">
        <v>495</v>
      </c>
      <c r="D209" s="39">
        <v>1</v>
      </c>
      <c r="E209" s="39" t="s">
        <v>472</v>
      </c>
      <c r="F209" s="79">
        <v>41733</v>
      </c>
      <c r="G209" s="79">
        <f t="shared" ref="G209" si="26">F209+(D209*365)</f>
        <v>42098</v>
      </c>
      <c r="H209" s="38" t="s">
        <v>489</v>
      </c>
      <c r="I209" s="38"/>
      <c r="J209" s="98"/>
      <c r="K209" s="1" t="s">
        <v>472</v>
      </c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/>
      <c r="AG209" s="30"/>
      <c r="AH209" s="30"/>
      <c r="AI209" s="30"/>
      <c r="AJ209" s="30"/>
      <c r="AK209" s="30"/>
      <c r="AL209" s="30"/>
      <c r="AM209" s="30"/>
      <c r="AN209" s="30"/>
      <c r="AO209" s="30"/>
      <c r="AP209" s="30"/>
      <c r="AQ209" s="30"/>
      <c r="AR209" s="30"/>
      <c r="AS209" s="30"/>
      <c r="AT209" s="30"/>
      <c r="AU209" s="30"/>
      <c r="AV209" s="30"/>
      <c r="AW209" s="30"/>
      <c r="AX209" s="30"/>
      <c r="AY209" s="30"/>
      <c r="AZ209" s="30"/>
      <c r="BA209" s="30"/>
      <c r="BB209" s="30"/>
      <c r="BC209" s="30"/>
      <c r="BD209" s="30"/>
      <c r="BE209" s="30"/>
      <c r="BF209" s="30"/>
      <c r="BG209" s="30"/>
      <c r="BH209" s="30"/>
      <c r="BI209" s="30"/>
      <c r="BJ209" s="30"/>
      <c r="BK209" s="30"/>
      <c r="BL209" s="30"/>
      <c r="BM209" s="30"/>
      <c r="BN209" s="30"/>
      <c r="BO209" s="30"/>
      <c r="BP209" s="3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  <c r="DB209" s="30"/>
      <c r="DC209" s="30"/>
      <c r="DD209" s="30"/>
      <c r="DE209" s="30"/>
      <c r="DF209" s="30"/>
      <c r="DG209" s="30"/>
      <c r="DH209" s="30"/>
      <c r="DI209" s="30"/>
      <c r="DJ209" s="30"/>
      <c r="DK209" s="30"/>
      <c r="DL209" s="30"/>
      <c r="DM209" s="30"/>
      <c r="DN209" s="30"/>
      <c r="DO209" s="30"/>
      <c r="DP209" s="30"/>
      <c r="DQ209" s="30"/>
      <c r="DR209" s="30"/>
      <c r="DS209" s="30"/>
      <c r="DT209" s="30"/>
      <c r="DU209" s="30"/>
      <c r="DV209" s="30"/>
      <c r="DW209" s="30"/>
      <c r="DX209" s="30"/>
      <c r="DY209" s="30"/>
      <c r="DZ209" s="30"/>
      <c r="EA209" s="30"/>
      <c r="EB209" s="30"/>
      <c r="EC209" s="30"/>
      <c r="ED209" s="30"/>
      <c r="EE209" s="30"/>
      <c r="EF209" s="30"/>
      <c r="EG209" s="30"/>
      <c r="EH209" s="30"/>
      <c r="EI209" s="30"/>
      <c r="EJ209" s="30"/>
      <c r="EK209" s="30"/>
      <c r="EL209" s="30"/>
      <c r="EM209" s="30"/>
      <c r="EN209" s="30"/>
      <c r="EO209" s="30"/>
      <c r="EP209" s="30"/>
      <c r="EQ209" s="30"/>
      <c r="ER209" s="30"/>
      <c r="ES209" s="30"/>
      <c r="ET209" s="30"/>
      <c r="EU209" s="30"/>
      <c r="EV209" s="30"/>
      <c r="EW209" s="30"/>
      <c r="EX209" s="30"/>
      <c r="EY209" s="30"/>
      <c r="EZ209" s="30"/>
      <c r="FA209" s="30"/>
      <c r="FB209" s="30"/>
      <c r="FC209" s="30"/>
      <c r="FD209" s="30"/>
      <c r="FE209" s="30"/>
      <c r="FF209" s="30"/>
      <c r="FG209" s="30"/>
      <c r="FH209" s="30"/>
      <c r="FI209" s="30"/>
      <c r="FJ209" s="30"/>
      <c r="FK209" s="30"/>
      <c r="FL209" s="30"/>
      <c r="FM209" s="30"/>
      <c r="FN209" s="30"/>
      <c r="FO209" s="30"/>
      <c r="FP209" s="30"/>
      <c r="FQ209" s="30"/>
      <c r="FR209" s="30"/>
      <c r="FS209" s="30"/>
      <c r="FT209" s="30"/>
      <c r="FU209" s="30"/>
      <c r="FV209" s="30"/>
      <c r="FW209" s="30"/>
      <c r="FX209" s="30"/>
      <c r="FY209" s="30"/>
      <c r="FZ209" s="30"/>
      <c r="GA209" s="30"/>
      <c r="GB209" s="30"/>
      <c r="GC209" s="30"/>
      <c r="GD209" s="30"/>
      <c r="GE209" s="30"/>
      <c r="GF209" s="30"/>
      <c r="GG209" s="30"/>
      <c r="GH209" s="30"/>
      <c r="GI209" s="30"/>
      <c r="GJ209" s="30"/>
      <c r="GK209" s="30"/>
      <c r="GL209" s="30"/>
      <c r="GM209" s="30"/>
      <c r="GN209" s="30"/>
      <c r="GO209" s="30"/>
      <c r="GP209" s="30"/>
      <c r="GQ209" s="30"/>
      <c r="GR209" s="30"/>
      <c r="GS209" s="30"/>
      <c r="GT209" s="30"/>
      <c r="GU209" s="30"/>
      <c r="GV209" s="30"/>
      <c r="GW209" s="30"/>
      <c r="GX209" s="30"/>
      <c r="GY209" s="30"/>
      <c r="GZ209" s="30"/>
      <c r="HA209" s="30"/>
      <c r="HB209" s="30"/>
      <c r="HC209" s="30"/>
      <c r="HD209" s="30"/>
      <c r="HE209" s="30"/>
      <c r="HF209" s="30"/>
      <c r="HG209" s="30"/>
      <c r="HH209" s="30"/>
      <c r="HI209" s="30"/>
      <c r="HJ209" s="30"/>
      <c r="HK209" s="30"/>
      <c r="HL209" s="30"/>
      <c r="HM209" s="30"/>
      <c r="HN209" s="30"/>
      <c r="HO209" s="30"/>
      <c r="HP209" s="30"/>
      <c r="HQ209" s="30"/>
      <c r="HR209" s="30"/>
      <c r="HS209" s="30"/>
      <c r="HT209" s="30"/>
      <c r="HU209" s="30"/>
      <c r="HV209" s="30"/>
      <c r="HW209" s="30"/>
      <c r="HX209" s="30"/>
      <c r="HY209" s="30"/>
      <c r="HZ209" s="30"/>
      <c r="IA209" s="30"/>
      <c r="IB209" s="30"/>
      <c r="IC209" s="30"/>
      <c r="ID209" s="30"/>
      <c r="IE209" s="30"/>
      <c r="IF209" s="30"/>
      <c r="IG209" s="30"/>
      <c r="IH209" s="30"/>
      <c r="II209" s="30"/>
      <c r="IJ209" s="30"/>
      <c r="IK209" s="30"/>
      <c r="IL209" s="30"/>
      <c r="IM209" s="30"/>
      <c r="IN209" s="30"/>
      <c r="IO209" s="30"/>
      <c r="IP209" s="30"/>
      <c r="IQ209" s="30"/>
      <c r="IR209" s="30"/>
      <c r="IS209" s="30"/>
      <c r="IT209" s="30"/>
      <c r="IU209" s="30"/>
      <c r="IV209" s="30"/>
      <c r="IW209" s="30"/>
      <c r="IX209" s="30"/>
      <c r="IY209" s="30"/>
      <c r="IZ209" s="30"/>
      <c r="JA209" s="30"/>
      <c r="JB209" s="30"/>
      <c r="JC209" s="30"/>
      <c r="JD209" s="30"/>
      <c r="JE209" s="30"/>
      <c r="JF209" s="30"/>
      <c r="JG209" s="30"/>
      <c r="JH209" s="30"/>
      <c r="JI209" s="30"/>
      <c r="JJ209" s="30"/>
      <c r="JK209" s="30"/>
      <c r="JL209" s="30"/>
      <c r="JM209" s="30"/>
      <c r="JN209" s="30"/>
      <c r="JO209" s="30"/>
      <c r="JP209" s="30"/>
      <c r="JQ209" s="30"/>
      <c r="JR209" s="30"/>
      <c r="JS209" s="30"/>
      <c r="JT209" s="30"/>
      <c r="JU209" s="30"/>
      <c r="JV209" s="30"/>
      <c r="JW209" s="30"/>
      <c r="JX209" s="30"/>
      <c r="JY209" s="30"/>
      <c r="JZ209" s="30"/>
      <c r="KA209" s="30"/>
      <c r="KB209" s="30"/>
      <c r="KC209" s="30"/>
      <c r="KD209" s="30"/>
      <c r="KE209" s="30"/>
      <c r="KF209" s="30"/>
      <c r="KG209" s="30"/>
      <c r="KH209" s="30"/>
      <c r="KI209" s="30"/>
      <c r="KJ209" s="30"/>
      <c r="KK209" s="30"/>
      <c r="KL209" s="30"/>
      <c r="KM209" s="30"/>
      <c r="KN209" s="30"/>
      <c r="KO209" s="30"/>
      <c r="KP209" s="30"/>
      <c r="KQ209" s="30"/>
      <c r="KR209" s="30"/>
      <c r="KS209" s="30"/>
      <c r="KT209" s="30"/>
      <c r="KU209" s="30"/>
      <c r="KV209" s="30"/>
      <c r="KW209" s="30"/>
      <c r="KX209" s="30"/>
      <c r="KY209" s="30"/>
      <c r="KZ209" s="30"/>
      <c r="LA209" s="30"/>
      <c r="LB209" s="30"/>
      <c r="LC209" s="30"/>
      <c r="LD209" s="30"/>
      <c r="LE209" s="30"/>
      <c r="LF209" s="30"/>
      <c r="LG209" s="30"/>
      <c r="LH209" s="30"/>
      <c r="LI209" s="30"/>
      <c r="LJ209" s="30"/>
      <c r="LK209" s="30"/>
      <c r="LL209" s="30"/>
      <c r="LM209" s="30"/>
      <c r="LN209" s="30"/>
      <c r="LO209" s="30"/>
      <c r="LP209" s="30"/>
      <c r="LQ209" s="30"/>
      <c r="LR209" s="30"/>
      <c r="LS209" s="30"/>
      <c r="LT209" s="30"/>
      <c r="LU209" s="30"/>
      <c r="LV209" s="30"/>
      <c r="LW209" s="30"/>
      <c r="LX209" s="30"/>
      <c r="LY209" s="30"/>
      <c r="LZ209" s="30"/>
      <c r="MA209" s="30"/>
      <c r="MB209" s="30"/>
      <c r="MC209" s="30"/>
      <c r="MD209" s="30"/>
      <c r="ME209" s="30"/>
      <c r="MF209" s="30"/>
      <c r="MG209" s="30"/>
      <c r="MH209" s="30"/>
      <c r="MI209" s="30"/>
      <c r="MJ209" s="30"/>
      <c r="MK209" s="30"/>
      <c r="ML209" s="30"/>
      <c r="MM209" s="30"/>
      <c r="MN209" s="30"/>
      <c r="MO209" s="30"/>
      <c r="MP209" s="30"/>
      <c r="MQ209" s="30"/>
      <c r="MR209" s="30"/>
      <c r="MS209" s="30"/>
      <c r="MT209" s="30"/>
      <c r="MU209" s="30"/>
      <c r="MV209" s="30"/>
      <c r="MW209" s="30"/>
      <c r="MX209" s="30"/>
      <c r="MY209" s="30"/>
      <c r="MZ209" s="30"/>
      <c r="NA209" s="30"/>
      <c r="NB209" s="30"/>
      <c r="NC209" s="30"/>
      <c r="ND209" s="30"/>
      <c r="NE209" s="30"/>
      <c r="NF209" s="30"/>
      <c r="NG209" s="30"/>
      <c r="NH209" s="30"/>
      <c r="NI209" s="30"/>
      <c r="NJ209" s="30"/>
      <c r="NK209" s="30"/>
      <c r="NL209" s="30"/>
      <c r="NM209" s="30"/>
      <c r="NN209" s="30"/>
      <c r="NO209" s="30"/>
      <c r="NP209" s="30"/>
      <c r="NQ209" s="30"/>
      <c r="NR209" s="30"/>
      <c r="NS209" s="30"/>
      <c r="NT209" s="30"/>
      <c r="NU209" s="30"/>
      <c r="NV209" s="30"/>
      <c r="NW209" s="30"/>
      <c r="NX209" s="30"/>
      <c r="NY209" s="30"/>
      <c r="NZ209" s="30"/>
      <c r="OA209" s="30"/>
      <c r="OB209" s="30"/>
      <c r="OC209" s="30"/>
      <c r="OD209" s="30"/>
      <c r="OE209" s="30"/>
      <c r="OF209" s="30"/>
      <c r="OG209" s="30"/>
      <c r="OH209" s="30"/>
      <c r="OI209" s="30"/>
      <c r="OJ209" s="30"/>
      <c r="OK209" s="30"/>
      <c r="OL209" s="30"/>
      <c r="OM209" s="30"/>
      <c r="ON209" s="30"/>
      <c r="OO209" s="30"/>
      <c r="OP209" s="30"/>
      <c r="OQ209" s="30"/>
      <c r="OR209" s="30"/>
      <c r="OS209" s="30"/>
      <c r="OT209" s="30"/>
      <c r="OU209" s="30"/>
      <c r="OV209" s="30"/>
      <c r="OW209" s="30"/>
      <c r="OX209" s="30"/>
      <c r="OY209" s="30"/>
      <c r="OZ209" s="30"/>
      <c r="PA209" s="30"/>
      <c r="PB209" s="30"/>
      <c r="PC209" s="30"/>
      <c r="PD209" s="30"/>
      <c r="PE209" s="30"/>
      <c r="PF209" s="30"/>
      <c r="PG209" s="30"/>
      <c r="PH209" s="30"/>
      <c r="PI209" s="30"/>
      <c r="PJ209" s="30"/>
      <c r="PK209" s="30"/>
      <c r="PL209" s="30"/>
      <c r="PM209" s="30"/>
      <c r="PN209" s="30"/>
      <c r="PO209" s="30"/>
      <c r="PP209" s="30"/>
      <c r="PQ209" s="30"/>
      <c r="PR209" s="30"/>
      <c r="PS209" s="30"/>
      <c r="PT209" s="30"/>
      <c r="PU209" s="30"/>
      <c r="PV209" s="30"/>
      <c r="PW209" s="30"/>
      <c r="PX209" s="30"/>
      <c r="PY209" s="30"/>
      <c r="PZ209" s="30"/>
      <c r="QA209" s="30"/>
      <c r="QB209" s="30"/>
      <c r="QC209" s="30"/>
      <c r="QD209" s="30"/>
      <c r="QE209" s="30"/>
      <c r="QF209" s="30"/>
      <c r="QG209" s="30"/>
      <c r="QH209" s="30"/>
      <c r="QI209" s="30"/>
      <c r="QJ209" s="30"/>
      <c r="QK209" s="30"/>
      <c r="QL209" s="30"/>
      <c r="QM209" s="30"/>
      <c r="QN209" s="30"/>
      <c r="QO209" s="30"/>
      <c r="QP209" s="30"/>
      <c r="QQ209" s="30"/>
      <c r="QR209" s="30"/>
      <c r="QS209" s="30"/>
      <c r="QT209" s="30"/>
      <c r="QU209" s="30"/>
      <c r="QV209" s="30"/>
      <c r="QW209" s="30"/>
      <c r="QX209" s="30"/>
      <c r="QY209" s="30"/>
      <c r="QZ209" s="30"/>
      <c r="RA209" s="30"/>
      <c r="RB209" s="30"/>
      <c r="RC209" s="30"/>
      <c r="RD209" s="30"/>
      <c r="RE209" s="30"/>
      <c r="RF209" s="30"/>
      <c r="RG209" s="30"/>
      <c r="RH209" s="30"/>
      <c r="RI209" s="30"/>
      <c r="RJ209" s="30"/>
      <c r="RK209" s="30"/>
      <c r="RL209" s="30"/>
      <c r="RM209" s="30"/>
      <c r="RN209" s="30"/>
      <c r="RO209" s="30"/>
      <c r="RP209" s="30"/>
      <c r="RQ209" s="30"/>
      <c r="RR209" s="30"/>
      <c r="RS209" s="30"/>
      <c r="RT209" s="30"/>
      <c r="RU209" s="30"/>
      <c r="RV209" s="30"/>
      <c r="RW209" s="30"/>
      <c r="RX209" s="30"/>
      <c r="RY209" s="30"/>
      <c r="RZ209" s="30"/>
      <c r="SA209" s="30"/>
      <c r="SB209" s="30"/>
      <c r="SC209" s="30"/>
      <c r="SD209" s="30"/>
      <c r="SE209" s="30"/>
      <c r="SF209" s="30"/>
      <c r="SG209" s="30"/>
      <c r="SH209" s="30"/>
      <c r="SI209" s="30"/>
      <c r="SJ209" s="30"/>
      <c r="SK209" s="30"/>
      <c r="SL209" s="30"/>
      <c r="SM209" s="30"/>
      <c r="SN209" s="30"/>
      <c r="SO209" s="30"/>
      <c r="SP209" s="30"/>
      <c r="SQ209" s="30"/>
      <c r="SR209" s="30"/>
      <c r="SS209" s="30"/>
      <c r="ST209" s="30"/>
      <c r="SU209" s="30"/>
      <c r="SV209" s="30"/>
      <c r="SW209" s="30"/>
      <c r="SX209" s="30"/>
      <c r="SY209" s="30"/>
      <c r="SZ209" s="30"/>
      <c r="TA209" s="30"/>
      <c r="TB209" s="30"/>
      <c r="TC209" s="30"/>
      <c r="TD209" s="30"/>
      <c r="TE209" s="30"/>
      <c r="TF209" s="30"/>
      <c r="TG209" s="30"/>
      <c r="TH209" s="30"/>
      <c r="TI209" s="30"/>
      <c r="TJ209" s="30"/>
      <c r="TK209" s="30"/>
      <c r="TL209" s="30"/>
      <c r="TM209" s="30"/>
      <c r="TN209" s="30"/>
      <c r="TO209" s="30"/>
      <c r="TP209" s="30"/>
      <c r="TQ209" s="30"/>
      <c r="TR209" s="30"/>
      <c r="TS209" s="30"/>
      <c r="TT209" s="30"/>
      <c r="TU209" s="30"/>
      <c r="TV209" s="30"/>
      <c r="TW209" s="30"/>
      <c r="TX209" s="30"/>
      <c r="TY209" s="30"/>
      <c r="TZ209" s="30"/>
      <c r="UA209" s="30"/>
      <c r="UB209" s="30"/>
      <c r="UC209" s="30"/>
      <c r="UD209" s="30"/>
      <c r="UE209" s="30"/>
      <c r="UF209" s="30"/>
      <c r="UG209" s="30"/>
      <c r="UH209" s="30"/>
      <c r="UI209" s="30"/>
      <c r="UJ209" s="30"/>
      <c r="UK209" s="30"/>
      <c r="UL209" s="30"/>
      <c r="UM209" s="30"/>
      <c r="UN209" s="30"/>
      <c r="UO209" s="30"/>
      <c r="UP209" s="30"/>
      <c r="UQ209" s="30"/>
      <c r="UR209" s="30"/>
      <c r="US209" s="30"/>
      <c r="UT209" s="30"/>
      <c r="UU209" s="30"/>
      <c r="UV209" s="30"/>
      <c r="UW209" s="30"/>
      <c r="UX209" s="30"/>
      <c r="UY209" s="30"/>
      <c r="UZ209" s="30"/>
      <c r="VA209" s="30"/>
      <c r="VB209" s="30"/>
      <c r="VC209" s="30"/>
      <c r="VD209" s="30"/>
      <c r="VE209" s="30"/>
      <c r="VF209" s="30"/>
      <c r="VG209" s="30"/>
      <c r="VH209" s="30"/>
      <c r="VI209" s="30"/>
      <c r="VJ209" s="30"/>
      <c r="VK209" s="30"/>
      <c r="VL209" s="30"/>
      <c r="VM209" s="30"/>
      <c r="VN209" s="30"/>
      <c r="VO209" s="30"/>
      <c r="VP209" s="30"/>
      <c r="VQ209" s="30"/>
      <c r="VR209" s="30"/>
      <c r="VS209" s="30"/>
      <c r="VT209" s="30"/>
      <c r="VU209" s="30"/>
      <c r="VV209" s="30"/>
      <c r="VW209" s="30"/>
      <c r="VX209" s="30"/>
      <c r="VY209" s="30"/>
      <c r="VZ209" s="30"/>
      <c r="WA209" s="30"/>
      <c r="WB209" s="30"/>
      <c r="WC209" s="30"/>
      <c r="WD209" s="30"/>
      <c r="WE209" s="30"/>
      <c r="WF209" s="30"/>
      <c r="WG209" s="30"/>
      <c r="WH209" s="30"/>
      <c r="WI209" s="30"/>
      <c r="WJ209" s="30"/>
      <c r="WK209" s="30"/>
      <c r="WL209" s="30"/>
      <c r="WM209" s="30"/>
      <c r="WN209" s="30"/>
      <c r="WO209" s="30"/>
      <c r="WP209" s="30"/>
      <c r="WQ209" s="30"/>
      <c r="WR209" s="30"/>
      <c r="WS209" s="30"/>
      <c r="WT209" s="30"/>
      <c r="WU209" s="30"/>
      <c r="WV209" s="30"/>
      <c r="WW209" s="30"/>
      <c r="WX209" s="30"/>
      <c r="WY209" s="30"/>
      <c r="WZ209" s="30"/>
      <c r="XA209" s="30"/>
      <c r="XB209" s="30"/>
      <c r="XC209" s="30"/>
      <c r="XD209" s="30"/>
      <c r="XE209" s="30"/>
      <c r="XF209" s="30"/>
      <c r="XG209" s="30"/>
      <c r="XH209" s="30"/>
      <c r="XI209" s="30"/>
      <c r="XJ209" s="30"/>
      <c r="XK209" s="30"/>
      <c r="XL209" s="30"/>
      <c r="XM209" s="30"/>
      <c r="XN209" s="30"/>
      <c r="XO209" s="30"/>
      <c r="XP209" s="30"/>
      <c r="XQ209" s="30"/>
      <c r="XR209" s="30"/>
      <c r="XS209" s="30"/>
      <c r="XT209" s="30"/>
      <c r="XU209" s="30"/>
      <c r="XV209" s="30"/>
      <c r="XW209" s="30"/>
      <c r="XX209" s="30"/>
      <c r="XY209" s="30"/>
      <c r="XZ209" s="30"/>
      <c r="YA209" s="30"/>
      <c r="YB209" s="30"/>
      <c r="YC209" s="30"/>
      <c r="YD209" s="30"/>
      <c r="YE209" s="30"/>
      <c r="YF209" s="30"/>
      <c r="YG209" s="30"/>
      <c r="YH209" s="30"/>
      <c r="YI209" s="30"/>
      <c r="YJ209" s="30"/>
      <c r="YK209" s="30"/>
      <c r="YL209" s="30"/>
      <c r="YM209" s="30"/>
      <c r="YN209" s="30"/>
      <c r="YO209" s="30"/>
      <c r="YP209" s="30"/>
      <c r="YQ209" s="30"/>
      <c r="YR209" s="30"/>
      <c r="YS209" s="30"/>
      <c r="YT209" s="30"/>
      <c r="YU209" s="30"/>
      <c r="YV209" s="30"/>
      <c r="YW209" s="30"/>
      <c r="YX209" s="30"/>
      <c r="YY209" s="30"/>
      <c r="YZ209" s="30"/>
      <c r="ZA209" s="30"/>
      <c r="ZB209" s="30"/>
      <c r="ZC209" s="30"/>
      <c r="ZD209" s="30"/>
      <c r="ZE209" s="30"/>
    </row>
    <row r="210" spans="1:681" s="28" customFormat="1" x14ac:dyDescent="0.2">
      <c r="A210" s="90" t="s">
        <v>787</v>
      </c>
      <c r="B210" s="90" t="s">
        <v>605</v>
      </c>
      <c r="C210" s="90" t="s">
        <v>569</v>
      </c>
      <c r="D210" s="39">
        <v>1</v>
      </c>
      <c r="E210" s="39" t="s">
        <v>421</v>
      </c>
      <c r="F210" s="79">
        <v>42165</v>
      </c>
      <c r="G210" s="79">
        <f t="shared" si="25"/>
        <v>42530</v>
      </c>
      <c r="H210" s="125" t="s">
        <v>174</v>
      </c>
      <c r="I210" s="38"/>
      <c r="J210" s="116" t="s">
        <v>625</v>
      </c>
      <c r="K210" s="1" t="s">
        <v>490</v>
      </c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/>
      <c r="AG210" s="30"/>
      <c r="AH210" s="30"/>
      <c r="AI210" s="30"/>
      <c r="AJ210" s="30"/>
      <c r="AK210" s="30"/>
      <c r="AL210" s="30"/>
      <c r="AM210" s="30"/>
      <c r="AN210" s="30"/>
      <c r="AO210" s="30"/>
      <c r="AP210" s="30"/>
      <c r="AQ210" s="30"/>
      <c r="AR210" s="30"/>
      <c r="AS210" s="30"/>
      <c r="AT210" s="30"/>
      <c r="AU210" s="30"/>
      <c r="AV210" s="30"/>
      <c r="AW210" s="30"/>
      <c r="AX210" s="30"/>
      <c r="AY210" s="30"/>
      <c r="AZ210" s="30"/>
      <c r="BA210" s="30"/>
      <c r="BB210" s="30"/>
      <c r="BC210" s="30"/>
      <c r="BD210" s="30"/>
      <c r="BE210" s="30"/>
      <c r="BF210" s="30"/>
      <c r="BG210" s="30"/>
      <c r="BH210" s="30"/>
      <c r="BI210" s="30"/>
      <c r="BJ210" s="30"/>
      <c r="BK210" s="30"/>
      <c r="BL210" s="30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  <c r="DB210" s="30"/>
      <c r="DC210" s="30"/>
      <c r="DD210" s="30"/>
      <c r="DE210" s="30"/>
      <c r="DF210" s="30"/>
      <c r="DG210" s="30"/>
      <c r="DH210" s="30"/>
      <c r="DI210" s="30"/>
      <c r="DJ210" s="30"/>
      <c r="DK210" s="30"/>
      <c r="DL210" s="30"/>
      <c r="DM210" s="30"/>
      <c r="DN210" s="30"/>
      <c r="DO210" s="30"/>
      <c r="DP210" s="30"/>
      <c r="DQ210" s="30"/>
      <c r="DR210" s="30"/>
      <c r="DS210" s="30"/>
      <c r="DT210" s="30"/>
      <c r="DU210" s="30"/>
      <c r="DV210" s="30"/>
      <c r="DW210" s="30"/>
      <c r="DX210" s="30"/>
      <c r="DY210" s="30"/>
      <c r="DZ210" s="30"/>
      <c r="EA210" s="30"/>
      <c r="EB210" s="30"/>
      <c r="EC210" s="30"/>
      <c r="ED210" s="30"/>
      <c r="EE210" s="30"/>
      <c r="EF210" s="30"/>
      <c r="EG210" s="30"/>
      <c r="EH210" s="30"/>
      <c r="EI210" s="30"/>
      <c r="EJ210" s="30"/>
      <c r="EK210" s="30"/>
      <c r="EL210" s="30"/>
      <c r="EM210" s="30"/>
      <c r="EN210" s="30"/>
      <c r="EO210" s="30"/>
      <c r="EP210" s="30"/>
      <c r="EQ210" s="30"/>
      <c r="ER210" s="30"/>
      <c r="ES210" s="30"/>
      <c r="ET210" s="30"/>
      <c r="EU210" s="30"/>
      <c r="EV210" s="30"/>
      <c r="EW210" s="30"/>
      <c r="EX210" s="30"/>
      <c r="EY210" s="30"/>
      <c r="EZ210" s="30"/>
      <c r="FA210" s="30"/>
      <c r="FB210" s="30"/>
      <c r="FC210" s="30"/>
      <c r="FD210" s="30"/>
      <c r="FE210" s="30"/>
      <c r="FF210" s="30"/>
      <c r="FG210" s="30"/>
      <c r="FH210" s="30"/>
      <c r="FI210" s="30"/>
      <c r="FJ210" s="30"/>
      <c r="FK210" s="30"/>
      <c r="FL210" s="30"/>
      <c r="FM210" s="30"/>
      <c r="FN210" s="30"/>
      <c r="FO210" s="30"/>
      <c r="FP210" s="30"/>
      <c r="FQ210" s="30"/>
      <c r="FR210" s="30"/>
      <c r="FS210" s="30"/>
      <c r="FT210" s="30"/>
      <c r="FU210" s="30"/>
      <c r="FV210" s="30"/>
      <c r="FW210" s="30"/>
      <c r="FX210" s="30"/>
      <c r="FY210" s="30"/>
      <c r="FZ210" s="30"/>
      <c r="GA210" s="30"/>
      <c r="GB210" s="30"/>
      <c r="GC210" s="30"/>
      <c r="GD210" s="30"/>
      <c r="GE210" s="30"/>
      <c r="GF210" s="30"/>
      <c r="GG210" s="30"/>
      <c r="GH210" s="30"/>
      <c r="GI210" s="30"/>
      <c r="GJ210" s="30"/>
      <c r="GK210" s="30"/>
      <c r="GL210" s="30"/>
      <c r="GM210" s="30"/>
      <c r="GN210" s="30"/>
      <c r="GO210" s="30"/>
      <c r="GP210" s="30"/>
      <c r="GQ210" s="30"/>
      <c r="GR210" s="30"/>
      <c r="GS210" s="30"/>
      <c r="GT210" s="30"/>
      <c r="GU210" s="30"/>
      <c r="GV210" s="30"/>
      <c r="GW210" s="30"/>
      <c r="GX210" s="30"/>
      <c r="GY210" s="30"/>
      <c r="GZ210" s="30"/>
      <c r="HA210" s="30"/>
      <c r="HB210" s="30"/>
      <c r="HC210" s="30"/>
      <c r="HD210" s="30"/>
      <c r="HE210" s="30"/>
      <c r="HF210" s="30"/>
      <c r="HG210" s="30"/>
      <c r="HH210" s="30"/>
      <c r="HI210" s="30"/>
      <c r="HJ210" s="30"/>
      <c r="HK210" s="30"/>
      <c r="HL210" s="30"/>
      <c r="HM210" s="30"/>
      <c r="HN210" s="30"/>
      <c r="HO210" s="30"/>
      <c r="HP210" s="30"/>
      <c r="HQ210" s="30"/>
      <c r="HR210" s="30"/>
      <c r="HS210" s="30"/>
      <c r="HT210" s="30"/>
      <c r="HU210" s="30"/>
      <c r="HV210" s="30"/>
      <c r="HW210" s="30"/>
      <c r="HX210" s="30"/>
      <c r="HY210" s="30"/>
      <c r="HZ210" s="30"/>
      <c r="IA210" s="30"/>
      <c r="IB210" s="30"/>
      <c r="IC210" s="30"/>
      <c r="ID210" s="30"/>
      <c r="IE210" s="30"/>
      <c r="IF210" s="30"/>
      <c r="IG210" s="30"/>
      <c r="IH210" s="30"/>
      <c r="II210" s="30"/>
      <c r="IJ210" s="30"/>
      <c r="IK210" s="30"/>
      <c r="IL210" s="30"/>
      <c r="IM210" s="30"/>
      <c r="IN210" s="30"/>
      <c r="IO210" s="30"/>
      <c r="IP210" s="30"/>
      <c r="IQ210" s="30"/>
      <c r="IR210" s="30"/>
      <c r="IS210" s="30"/>
      <c r="IT210" s="30"/>
      <c r="IU210" s="30"/>
      <c r="IV210" s="30"/>
      <c r="IW210" s="30"/>
      <c r="IX210" s="30"/>
      <c r="IY210" s="30"/>
      <c r="IZ210" s="30"/>
      <c r="JA210" s="30"/>
      <c r="JB210" s="30"/>
      <c r="JC210" s="30"/>
      <c r="JD210" s="30"/>
      <c r="JE210" s="30"/>
      <c r="JF210" s="30"/>
      <c r="JG210" s="30"/>
      <c r="JH210" s="30"/>
      <c r="JI210" s="30"/>
      <c r="JJ210" s="30"/>
      <c r="JK210" s="30"/>
      <c r="JL210" s="30"/>
      <c r="JM210" s="30"/>
      <c r="JN210" s="30"/>
      <c r="JO210" s="30"/>
      <c r="JP210" s="30"/>
      <c r="JQ210" s="30"/>
      <c r="JR210" s="30"/>
      <c r="JS210" s="30"/>
      <c r="JT210" s="30"/>
      <c r="JU210" s="30"/>
      <c r="JV210" s="30"/>
      <c r="JW210" s="30"/>
      <c r="JX210" s="30"/>
      <c r="JY210" s="30"/>
      <c r="JZ210" s="30"/>
      <c r="KA210" s="30"/>
      <c r="KB210" s="30"/>
      <c r="KC210" s="30"/>
      <c r="KD210" s="30"/>
      <c r="KE210" s="30"/>
      <c r="KF210" s="30"/>
      <c r="KG210" s="30"/>
      <c r="KH210" s="30"/>
      <c r="KI210" s="30"/>
      <c r="KJ210" s="30"/>
      <c r="KK210" s="30"/>
      <c r="KL210" s="30"/>
      <c r="KM210" s="30"/>
      <c r="KN210" s="30"/>
      <c r="KO210" s="30"/>
      <c r="KP210" s="30"/>
      <c r="KQ210" s="30"/>
      <c r="KR210" s="30"/>
      <c r="KS210" s="30"/>
      <c r="KT210" s="30"/>
      <c r="KU210" s="30"/>
      <c r="KV210" s="30"/>
      <c r="KW210" s="30"/>
      <c r="KX210" s="30"/>
      <c r="KY210" s="30"/>
      <c r="KZ210" s="30"/>
      <c r="LA210" s="30"/>
      <c r="LB210" s="30"/>
      <c r="LC210" s="30"/>
      <c r="LD210" s="30"/>
      <c r="LE210" s="30"/>
      <c r="LF210" s="30"/>
      <c r="LG210" s="30"/>
      <c r="LH210" s="30"/>
      <c r="LI210" s="30"/>
      <c r="LJ210" s="30"/>
      <c r="LK210" s="30"/>
      <c r="LL210" s="30"/>
      <c r="LM210" s="30"/>
      <c r="LN210" s="30"/>
      <c r="LO210" s="30"/>
      <c r="LP210" s="30"/>
      <c r="LQ210" s="30"/>
      <c r="LR210" s="30"/>
      <c r="LS210" s="30"/>
      <c r="LT210" s="30"/>
      <c r="LU210" s="30"/>
      <c r="LV210" s="30"/>
      <c r="LW210" s="30"/>
      <c r="LX210" s="30"/>
      <c r="LY210" s="30"/>
      <c r="LZ210" s="30"/>
      <c r="MA210" s="30"/>
      <c r="MB210" s="30"/>
      <c r="MC210" s="30"/>
      <c r="MD210" s="30"/>
      <c r="ME210" s="30"/>
      <c r="MF210" s="30"/>
      <c r="MG210" s="30"/>
      <c r="MH210" s="30"/>
      <c r="MI210" s="30"/>
      <c r="MJ210" s="30"/>
      <c r="MK210" s="30"/>
      <c r="ML210" s="30"/>
      <c r="MM210" s="30"/>
      <c r="MN210" s="30"/>
      <c r="MO210" s="30"/>
      <c r="MP210" s="30"/>
      <c r="MQ210" s="30"/>
      <c r="MR210" s="30"/>
      <c r="MS210" s="30"/>
      <c r="MT210" s="30"/>
      <c r="MU210" s="30"/>
      <c r="MV210" s="30"/>
      <c r="MW210" s="30"/>
      <c r="MX210" s="30"/>
      <c r="MY210" s="30"/>
      <c r="MZ210" s="30"/>
      <c r="NA210" s="30"/>
      <c r="NB210" s="30"/>
      <c r="NC210" s="30"/>
      <c r="ND210" s="30"/>
      <c r="NE210" s="30"/>
      <c r="NF210" s="30"/>
      <c r="NG210" s="30"/>
      <c r="NH210" s="30"/>
      <c r="NI210" s="30"/>
      <c r="NJ210" s="30"/>
      <c r="NK210" s="30"/>
      <c r="NL210" s="30"/>
      <c r="NM210" s="30"/>
      <c r="NN210" s="30"/>
      <c r="NO210" s="30"/>
      <c r="NP210" s="30"/>
      <c r="NQ210" s="30"/>
      <c r="NR210" s="30"/>
      <c r="NS210" s="30"/>
      <c r="NT210" s="30"/>
      <c r="NU210" s="30"/>
      <c r="NV210" s="30"/>
      <c r="NW210" s="30"/>
      <c r="NX210" s="30"/>
      <c r="NY210" s="30"/>
      <c r="NZ210" s="30"/>
      <c r="OA210" s="30"/>
      <c r="OB210" s="30"/>
      <c r="OC210" s="30"/>
      <c r="OD210" s="30"/>
      <c r="OE210" s="30"/>
      <c r="OF210" s="30"/>
      <c r="OG210" s="30"/>
      <c r="OH210" s="30"/>
      <c r="OI210" s="30"/>
      <c r="OJ210" s="30"/>
      <c r="OK210" s="30"/>
      <c r="OL210" s="30"/>
      <c r="OM210" s="30"/>
      <c r="ON210" s="30"/>
      <c r="OO210" s="30"/>
      <c r="OP210" s="30"/>
      <c r="OQ210" s="30"/>
      <c r="OR210" s="30"/>
      <c r="OS210" s="30"/>
      <c r="OT210" s="30"/>
      <c r="OU210" s="30"/>
      <c r="OV210" s="30"/>
      <c r="OW210" s="30"/>
      <c r="OX210" s="30"/>
      <c r="OY210" s="30"/>
      <c r="OZ210" s="30"/>
      <c r="PA210" s="30"/>
      <c r="PB210" s="30"/>
      <c r="PC210" s="30"/>
      <c r="PD210" s="30"/>
      <c r="PE210" s="30"/>
      <c r="PF210" s="30"/>
      <c r="PG210" s="30"/>
      <c r="PH210" s="30"/>
      <c r="PI210" s="30"/>
      <c r="PJ210" s="30"/>
      <c r="PK210" s="30"/>
      <c r="PL210" s="30"/>
      <c r="PM210" s="30"/>
      <c r="PN210" s="30"/>
      <c r="PO210" s="30"/>
      <c r="PP210" s="30"/>
      <c r="PQ210" s="30"/>
      <c r="PR210" s="30"/>
      <c r="PS210" s="30"/>
      <c r="PT210" s="30"/>
      <c r="PU210" s="30"/>
      <c r="PV210" s="30"/>
      <c r="PW210" s="30"/>
      <c r="PX210" s="30"/>
      <c r="PY210" s="30"/>
      <c r="PZ210" s="30"/>
      <c r="QA210" s="30"/>
      <c r="QB210" s="30"/>
      <c r="QC210" s="30"/>
      <c r="QD210" s="30"/>
      <c r="QE210" s="30"/>
      <c r="QF210" s="30"/>
      <c r="QG210" s="30"/>
      <c r="QH210" s="30"/>
      <c r="QI210" s="30"/>
      <c r="QJ210" s="30"/>
      <c r="QK210" s="30"/>
      <c r="QL210" s="30"/>
      <c r="QM210" s="30"/>
      <c r="QN210" s="30"/>
      <c r="QO210" s="30"/>
      <c r="QP210" s="30"/>
      <c r="QQ210" s="30"/>
      <c r="QR210" s="30"/>
      <c r="QS210" s="30"/>
      <c r="QT210" s="30"/>
      <c r="QU210" s="30"/>
      <c r="QV210" s="30"/>
      <c r="QW210" s="30"/>
      <c r="QX210" s="30"/>
      <c r="QY210" s="30"/>
      <c r="QZ210" s="30"/>
      <c r="RA210" s="30"/>
      <c r="RB210" s="30"/>
      <c r="RC210" s="30"/>
      <c r="RD210" s="30"/>
      <c r="RE210" s="30"/>
      <c r="RF210" s="30"/>
      <c r="RG210" s="30"/>
      <c r="RH210" s="30"/>
      <c r="RI210" s="30"/>
      <c r="RJ210" s="30"/>
      <c r="RK210" s="30"/>
      <c r="RL210" s="30"/>
      <c r="RM210" s="30"/>
      <c r="RN210" s="30"/>
      <c r="RO210" s="30"/>
      <c r="RP210" s="30"/>
      <c r="RQ210" s="30"/>
      <c r="RR210" s="30"/>
      <c r="RS210" s="30"/>
      <c r="RT210" s="30"/>
      <c r="RU210" s="30"/>
      <c r="RV210" s="30"/>
      <c r="RW210" s="30"/>
      <c r="RX210" s="30"/>
      <c r="RY210" s="30"/>
      <c r="RZ210" s="30"/>
      <c r="SA210" s="30"/>
      <c r="SB210" s="30"/>
      <c r="SC210" s="30"/>
      <c r="SD210" s="30"/>
      <c r="SE210" s="30"/>
      <c r="SF210" s="30"/>
      <c r="SG210" s="30"/>
      <c r="SH210" s="30"/>
      <c r="SI210" s="30"/>
      <c r="SJ210" s="30"/>
      <c r="SK210" s="30"/>
      <c r="SL210" s="30"/>
      <c r="SM210" s="30"/>
      <c r="SN210" s="30"/>
      <c r="SO210" s="30"/>
      <c r="SP210" s="30"/>
      <c r="SQ210" s="30"/>
      <c r="SR210" s="30"/>
      <c r="SS210" s="30"/>
      <c r="ST210" s="30"/>
      <c r="SU210" s="30"/>
      <c r="SV210" s="30"/>
      <c r="SW210" s="30"/>
      <c r="SX210" s="30"/>
      <c r="SY210" s="30"/>
      <c r="SZ210" s="30"/>
      <c r="TA210" s="30"/>
      <c r="TB210" s="30"/>
      <c r="TC210" s="30"/>
      <c r="TD210" s="30"/>
      <c r="TE210" s="30"/>
      <c r="TF210" s="30"/>
      <c r="TG210" s="30"/>
      <c r="TH210" s="30"/>
      <c r="TI210" s="30"/>
      <c r="TJ210" s="30"/>
      <c r="TK210" s="30"/>
      <c r="TL210" s="30"/>
      <c r="TM210" s="30"/>
      <c r="TN210" s="30"/>
      <c r="TO210" s="30"/>
      <c r="TP210" s="30"/>
      <c r="TQ210" s="30"/>
      <c r="TR210" s="30"/>
      <c r="TS210" s="30"/>
      <c r="TT210" s="30"/>
      <c r="TU210" s="30"/>
      <c r="TV210" s="30"/>
      <c r="TW210" s="30"/>
      <c r="TX210" s="30"/>
      <c r="TY210" s="30"/>
      <c r="TZ210" s="30"/>
      <c r="UA210" s="30"/>
      <c r="UB210" s="30"/>
      <c r="UC210" s="30"/>
      <c r="UD210" s="30"/>
      <c r="UE210" s="30"/>
      <c r="UF210" s="30"/>
      <c r="UG210" s="30"/>
      <c r="UH210" s="30"/>
      <c r="UI210" s="30"/>
      <c r="UJ210" s="30"/>
      <c r="UK210" s="30"/>
      <c r="UL210" s="30"/>
      <c r="UM210" s="30"/>
      <c r="UN210" s="30"/>
      <c r="UO210" s="30"/>
      <c r="UP210" s="30"/>
      <c r="UQ210" s="30"/>
      <c r="UR210" s="30"/>
      <c r="US210" s="30"/>
      <c r="UT210" s="30"/>
      <c r="UU210" s="30"/>
      <c r="UV210" s="30"/>
      <c r="UW210" s="30"/>
      <c r="UX210" s="30"/>
      <c r="UY210" s="30"/>
      <c r="UZ210" s="30"/>
      <c r="VA210" s="30"/>
      <c r="VB210" s="30"/>
      <c r="VC210" s="30"/>
      <c r="VD210" s="30"/>
      <c r="VE210" s="30"/>
      <c r="VF210" s="30"/>
      <c r="VG210" s="30"/>
      <c r="VH210" s="30"/>
      <c r="VI210" s="30"/>
      <c r="VJ210" s="30"/>
      <c r="VK210" s="30"/>
      <c r="VL210" s="30"/>
      <c r="VM210" s="30"/>
      <c r="VN210" s="30"/>
      <c r="VO210" s="30"/>
      <c r="VP210" s="30"/>
      <c r="VQ210" s="30"/>
      <c r="VR210" s="30"/>
      <c r="VS210" s="30"/>
      <c r="VT210" s="30"/>
      <c r="VU210" s="30"/>
      <c r="VV210" s="30"/>
      <c r="VW210" s="30"/>
      <c r="VX210" s="30"/>
      <c r="VY210" s="30"/>
      <c r="VZ210" s="30"/>
      <c r="WA210" s="30"/>
      <c r="WB210" s="30"/>
      <c r="WC210" s="30"/>
      <c r="WD210" s="30"/>
      <c r="WE210" s="30"/>
      <c r="WF210" s="30"/>
      <c r="WG210" s="30"/>
      <c r="WH210" s="30"/>
      <c r="WI210" s="30"/>
      <c r="WJ210" s="30"/>
      <c r="WK210" s="30"/>
      <c r="WL210" s="30"/>
      <c r="WM210" s="30"/>
      <c r="WN210" s="30"/>
      <c r="WO210" s="30"/>
      <c r="WP210" s="30"/>
      <c r="WQ210" s="30"/>
      <c r="WR210" s="30"/>
      <c r="WS210" s="30"/>
      <c r="WT210" s="30"/>
      <c r="WU210" s="30"/>
      <c r="WV210" s="30"/>
      <c r="WW210" s="30"/>
      <c r="WX210" s="30"/>
      <c r="WY210" s="30"/>
      <c r="WZ210" s="30"/>
      <c r="XA210" s="30"/>
      <c r="XB210" s="30"/>
      <c r="XC210" s="30"/>
      <c r="XD210" s="30"/>
      <c r="XE210" s="30"/>
      <c r="XF210" s="30"/>
      <c r="XG210" s="30"/>
      <c r="XH210" s="30"/>
      <c r="XI210" s="30"/>
      <c r="XJ210" s="30"/>
      <c r="XK210" s="30"/>
      <c r="XL210" s="30"/>
      <c r="XM210" s="30"/>
      <c r="XN210" s="30"/>
      <c r="XO210" s="30"/>
      <c r="XP210" s="30"/>
      <c r="XQ210" s="30"/>
      <c r="XR210" s="30"/>
      <c r="XS210" s="30"/>
      <c r="XT210" s="30"/>
      <c r="XU210" s="30"/>
      <c r="XV210" s="30"/>
      <c r="XW210" s="30"/>
      <c r="XX210" s="30"/>
      <c r="XY210" s="30"/>
      <c r="XZ210" s="30"/>
      <c r="YA210" s="30"/>
      <c r="YB210" s="30"/>
      <c r="YC210" s="30"/>
      <c r="YD210" s="30"/>
      <c r="YE210" s="30"/>
      <c r="YF210" s="30"/>
      <c r="YG210" s="30"/>
      <c r="YH210" s="30"/>
      <c r="YI210" s="30"/>
      <c r="YJ210" s="30"/>
      <c r="YK210" s="30"/>
      <c r="YL210" s="30"/>
      <c r="YM210" s="30"/>
      <c r="YN210" s="30"/>
      <c r="YO210" s="30"/>
      <c r="YP210" s="30"/>
      <c r="YQ210" s="30"/>
      <c r="YR210" s="30"/>
      <c r="YS210" s="30"/>
      <c r="YT210" s="30"/>
      <c r="YU210" s="30"/>
      <c r="YV210" s="30"/>
      <c r="YW210" s="30"/>
      <c r="YX210" s="30"/>
      <c r="YY210" s="30"/>
      <c r="YZ210" s="30"/>
      <c r="ZA210" s="30"/>
      <c r="ZB210" s="30"/>
      <c r="ZC210" s="30"/>
      <c r="ZD210" s="30"/>
      <c r="ZE210" s="30"/>
    </row>
    <row r="211" spans="1:681" s="28" customFormat="1" x14ac:dyDescent="0.2">
      <c r="A211" s="90" t="s">
        <v>787</v>
      </c>
      <c r="B211" s="90" t="s">
        <v>605</v>
      </c>
      <c r="C211" s="90" t="s">
        <v>570</v>
      </c>
      <c r="D211" s="39">
        <v>1</v>
      </c>
      <c r="E211" s="39" t="s">
        <v>421</v>
      </c>
      <c r="F211" s="79">
        <v>42165</v>
      </c>
      <c r="G211" s="79">
        <f t="shared" si="25"/>
        <v>42530</v>
      </c>
      <c r="H211" s="125" t="s">
        <v>174</v>
      </c>
      <c r="I211" s="38"/>
      <c r="J211" s="98" t="s">
        <v>625</v>
      </c>
      <c r="K211" s="1" t="s">
        <v>490</v>
      </c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/>
      <c r="AG211" s="30"/>
      <c r="AH211" s="30"/>
      <c r="AI211" s="30"/>
      <c r="AJ211" s="30"/>
      <c r="AK211" s="30"/>
      <c r="AL211" s="30"/>
      <c r="AM211" s="30"/>
      <c r="AN211" s="30"/>
      <c r="AO211" s="30"/>
      <c r="AP211" s="30"/>
      <c r="AQ211" s="30"/>
      <c r="AR211" s="30"/>
      <c r="AS211" s="30"/>
      <c r="AT211" s="30"/>
      <c r="AU211" s="30"/>
      <c r="AV211" s="30"/>
      <c r="AW211" s="30"/>
      <c r="AX211" s="30"/>
      <c r="AY211" s="30"/>
      <c r="AZ211" s="30"/>
      <c r="BA211" s="30"/>
      <c r="BB211" s="30"/>
      <c r="BC211" s="30"/>
      <c r="BD211" s="30"/>
      <c r="BE211" s="30"/>
      <c r="BF211" s="30"/>
      <c r="BG211" s="30"/>
      <c r="BH211" s="30"/>
      <c r="BI211" s="30"/>
      <c r="BJ211" s="30"/>
      <c r="BK211" s="30"/>
      <c r="BL211" s="30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  <c r="DA211" s="30"/>
      <c r="DB211" s="30"/>
      <c r="DC211" s="30"/>
      <c r="DD211" s="30"/>
      <c r="DE211" s="30"/>
      <c r="DF211" s="30"/>
      <c r="DG211" s="30"/>
      <c r="DH211" s="30"/>
      <c r="DI211" s="30"/>
      <c r="DJ211" s="30"/>
      <c r="DK211" s="30"/>
      <c r="DL211" s="30"/>
      <c r="DM211" s="30"/>
      <c r="DN211" s="30"/>
      <c r="DO211" s="30"/>
      <c r="DP211" s="30"/>
      <c r="DQ211" s="30"/>
      <c r="DR211" s="30"/>
      <c r="DS211" s="30"/>
      <c r="DT211" s="30"/>
      <c r="DU211" s="30"/>
      <c r="DV211" s="30"/>
      <c r="DW211" s="30"/>
      <c r="DX211" s="30"/>
      <c r="DY211" s="30"/>
      <c r="DZ211" s="30"/>
      <c r="EA211" s="30"/>
      <c r="EB211" s="30"/>
      <c r="EC211" s="30"/>
      <c r="ED211" s="30"/>
      <c r="EE211" s="30"/>
      <c r="EF211" s="30"/>
      <c r="EG211" s="30"/>
      <c r="EH211" s="30"/>
      <c r="EI211" s="30"/>
      <c r="EJ211" s="30"/>
      <c r="EK211" s="30"/>
      <c r="EL211" s="30"/>
      <c r="EM211" s="30"/>
      <c r="EN211" s="30"/>
      <c r="EO211" s="30"/>
      <c r="EP211" s="30"/>
      <c r="EQ211" s="30"/>
      <c r="ER211" s="30"/>
      <c r="ES211" s="30"/>
      <c r="ET211" s="30"/>
      <c r="EU211" s="30"/>
      <c r="EV211" s="30"/>
      <c r="EW211" s="30"/>
      <c r="EX211" s="30"/>
      <c r="EY211" s="30"/>
      <c r="EZ211" s="30"/>
      <c r="FA211" s="30"/>
      <c r="FB211" s="30"/>
      <c r="FC211" s="30"/>
      <c r="FD211" s="30"/>
      <c r="FE211" s="30"/>
      <c r="FF211" s="30"/>
      <c r="FG211" s="30"/>
      <c r="FH211" s="30"/>
      <c r="FI211" s="30"/>
      <c r="FJ211" s="30"/>
      <c r="FK211" s="30"/>
      <c r="FL211" s="30"/>
      <c r="FM211" s="30"/>
      <c r="FN211" s="30"/>
      <c r="FO211" s="30"/>
      <c r="FP211" s="30"/>
      <c r="FQ211" s="30"/>
      <c r="FR211" s="30"/>
      <c r="FS211" s="30"/>
      <c r="FT211" s="30"/>
      <c r="FU211" s="30"/>
      <c r="FV211" s="30"/>
      <c r="FW211" s="30"/>
      <c r="FX211" s="30"/>
      <c r="FY211" s="30"/>
      <c r="FZ211" s="30"/>
      <c r="GA211" s="30"/>
      <c r="GB211" s="30"/>
      <c r="GC211" s="30"/>
      <c r="GD211" s="30"/>
      <c r="GE211" s="30"/>
      <c r="GF211" s="30"/>
      <c r="GG211" s="30"/>
      <c r="GH211" s="30"/>
      <c r="GI211" s="30"/>
      <c r="GJ211" s="30"/>
      <c r="GK211" s="30"/>
      <c r="GL211" s="30"/>
      <c r="GM211" s="30"/>
      <c r="GN211" s="30"/>
      <c r="GO211" s="30"/>
      <c r="GP211" s="30"/>
      <c r="GQ211" s="30"/>
      <c r="GR211" s="30"/>
      <c r="GS211" s="30"/>
      <c r="GT211" s="30"/>
      <c r="GU211" s="30"/>
      <c r="GV211" s="30"/>
      <c r="GW211" s="30"/>
      <c r="GX211" s="30"/>
      <c r="GY211" s="30"/>
      <c r="GZ211" s="30"/>
      <c r="HA211" s="30"/>
      <c r="HB211" s="30"/>
      <c r="HC211" s="30"/>
      <c r="HD211" s="30"/>
      <c r="HE211" s="30"/>
      <c r="HF211" s="30"/>
      <c r="HG211" s="30"/>
      <c r="HH211" s="30"/>
      <c r="HI211" s="30"/>
      <c r="HJ211" s="30"/>
      <c r="HK211" s="30"/>
      <c r="HL211" s="30"/>
      <c r="HM211" s="30"/>
      <c r="HN211" s="30"/>
      <c r="HO211" s="30"/>
      <c r="HP211" s="30"/>
      <c r="HQ211" s="30"/>
      <c r="HR211" s="30"/>
      <c r="HS211" s="30"/>
      <c r="HT211" s="30"/>
      <c r="HU211" s="30"/>
      <c r="HV211" s="30"/>
      <c r="HW211" s="30"/>
      <c r="HX211" s="30"/>
      <c r="HY211" s="30"/>
      <c r="HZ211" s="30"/>
      <c r="IA211" s="30"/>
      <c r="IB211" s="30"/>
      <c r="IC211" s="30"/>
      <c r="ID211" s="30"/>
      <c r="IE211" s="30"/>
      <c r="IF211" s="30"/>
      <c r="IG211" s="30"/>
      <c r="IH211" s="30"/>
      <c r="II211" s="30"/>
      <c r="IJ211" s="30"/>
      <c r="IK211" s="30"/>
      <c r="IL211" s="30"/>
      <c r="IM211" s="30"/>
      <c r="IN211" s="30"/>
      <c r="IO211" s="30"/>
      <c r="IP211" s="30"/>
      <c r="IQ211" s="30"/>
      <c r="IR211" s="30"/>
      <c r="IS211" s="30"/>
      <c r="IT211" s="30"/>
      <c r="IU211" s="30"/>
      <c r="IV211" s="30"/>
      <c r="IW211" s="30"/>
      <c r="IX211" s="30"/>
      <c r="IY211" s="30"/>
      <c r="IZ211" s="30"/>
      <c r="JA211" s="30"/>
      <c r="JB211" s="30"/>
      <c r="JC211" s="30"/>
      <c r="JD211" s="30"/>
      <c r="JE211" s="30"/>
      <c r="JF211" s="30"/>
      <c r="JG211" s="30"/>
      <c r="JH211" s="30"/>
      <c r="JI211" s="30"/>
      <c r="JJ211" s="30"/>
      <c r="JK211" s="30"/>
      <c r="JL211" s="30"/>
      <c r="JM211" s="30"/>
      <c r="JN211" s="30"/>
      <c r="JO211" s="30"/>
      <c r="JP211" s="30"/>
      <c r="JQ211" s="30"/>
      <c r="JR211" s="30"/>
      <c r="JS211" s="30"/>
      <c r="JT211" s="30"/>
      <c r="JU211" s="30"/>
      <c r="JV211" s="30"/>
      <c r="JW211" s="30"/>
      <c r="JX211" s="30"/>
      <c r="JY211" s="30"/>
      <c r="JZ211" s="30"/>
      <c r="KA211" s="30"/>
      <c r="KB211" s="30"/>
      <c r="KC211" s="30"/>
      <c r="KD211" s="30"/>
      <c r="KE211" s="30"/>
      <c r="KF211" s="30"/>
      <c r="KG211" s="30"/>
      <c r="KH211" s="30"/>
      <c r="KI211" s="30"/>
      <c r="KJ211" s="30"/>
      <c r="KK211" s="30"/>
      <c r="KL211" s="30"/>
      <c r="KM211" s="30"/>
      <c r="KN211" s="30"/>
      <c r="KO211" s="30"/>
      <c r="KP211" s="30"/>
      <c r="KQ211" s="30"/>
      <c r="KR211" s="30"/>
      <c r="KS211" s="30"/>
      <c r="KT211" s="30"/>
      <c r="KU211" s="30"/>
      <c r="KV211" s="30"/>
      <c r="KW211" s="30"/>
      <c r="KX211" s="30"/>
      <c r="KY211" s="30"/>
      <c r="KZ211" s="30"/>
      <c r="LA211" s="30"/>
      <c r="LB211" s="30"/>
      <c r="LC211" s="30"/>
      <c r="LD211" s="30"/>
      <c r="LE211" s="30"/>
      <c r="LF211" s="30"/>
      <c r="LG211" s="30"/>
      <c r="LH211" s="30"/>
      <c r="LI211" s="30"/>
      <c r="LJ211" s="30"/>
      <c r="LK211" s="30"/>
      <c r="LL211" s="30"/>
      <c r="LM211" s="30"/>
      <c r="LN211" s="30"/>
      <c r="LO211" s="30"/>
      <c r="LP211" s="30"/>
      <c r="LQ211" s="30"/>
      <c r="LR211" s="30"/>
      <c r="LS211" s="30"/>
      <c r="LT211" s="30"/>
      <c r="LU211" s="30"/>
      <c r="LV211" s="30"/>
      <c r="LW211" s="30"/>
      <c r="LX211" s="30"/>
      <c r="LY211" s="30"/>
      <c r="LZ211" s="30"/>
      <c r="MA211" s="30"/>
      <c r="MB211" s="30"/>
      <c r="MC211" s="30"/>
      <c r="MD211" s="30"/>
      <c r="ME211" s="30"/>
      <c r="MF211" s="30"/>
      <c r="MG211" s="30"/>
      <c r="MH211" s="30"/>
      <c r="MI211" s="30"/>
      <c r="MJ211" s="30"/>
      <c r="MK211" s="30"/>
      <c r="ML211" s="30"/>
      <c r="MM211" s="30"/>
      <c r="MN211" s="30"/>
      <c r="MO211" s="30"/>
      <c r="MP211" s="30"/>
      <c r="MQ211" s="30"/>
      <c r="MR211" s="30"/>
      <c r="MS211" s="30"/>
      <c r="MT211" s="30"/>
      <c r="MU211" s="30"/>
      <c r="MV211" s="30"/>
      <c r="MW211" s="30"/>
      <c r="MX211" s="30"/>
      <c r="MY211" s="30"/>
      <c r="MZ211" s="30"/>
      <c r="NA211" s="30"/>
      <c r="NB211" s="30"/>
      <c r="NC211" s="30"/>
      <c r="ND211" s="30"/>
      <c r="NE211" s="30"/>
      <c r="NF211" s="30"/>
      <c r="NG211" s="30"/>
      <c r="NH211" s="30"/>
      <c r="NI211" s="30"/>
      <c r="NJ211" s="30"/>
      <c r="NK211" s="30"/>
      <c r="NL211" s="30"/>
      <c r="NM211" s="30"/>
      <c r="NN211" s="30"/>
      <c r="NO211" s="30"/>
      <c r="NP211" s="30"/>
      <c r="NQ211" s="30"/>
      <c r="NR211" s="30"/>
      <c r="NS211" s="30"/>
      <c r="NT211" s="30"/>
      <c r="NU211" s="30"/>
      <c r="NV211" s="30"/>
      <c r="NW211" s="30"/>
      <c r="NX211" s="30"/>
      <c r="NY211" s="30"/>
      <c r="NZ211" s="30"/>
      <c r="OA211" s="30"/>
      <c r="OB211" s="30"/>
      <c r="OC211" s="30"/>
      <c r="OD211" s="30"/>
      <c r="OE211" s="30"/>
      <c r="OF211" s="30"/>
      <c r="OG211" s="30"/>
      <c r="OH211" s="30"/>
      <c r="OI211" s="30"/>
      <c r="OJ211" s="30"/>
      <c r="OK211" s="30"/>
      <c r="OL211" s="30"/>
      <c r="OM211" s="30"/>
      <c r="ON211" s="30"/>
      <c r="OO211" s="30"/>
      <c r="OP211" s="30"/>
      <c r="OQ211" s="30"/>
      <c r="OR211" s="30"/>
      <c r="OS211" s="30"/>
      <c r="OT211" s="30"/>
      <c r="OU211" s="30"/>
      <c r="OV211" s="30"/>
      <c r="OW211" s="30"/>
      <c r="OX211" s="30"/>
      <c r="OY211" s="30"/>
      <c r="OZ211" s="30"/>
      <c r="PA211" s="30"/>
      <c r="PB211" s="30"/>
      <c r="PC211" s="30"/>
      <c r="PD211" s="30"/>
      <c r="PE211" s="30"/>
      <c r="PF211" s="30"/>
      <c r="PG211" s="30"/>
      <c r="PH211" s="30"/>
      <c r="PI211" s="30"/>
      <c r="PJ211" s="30"/>
      <c r="PK211" s="30"/>
      <c r="PL211" s="30"/>
      <c r="PM211" s="30"/>
      <c r="PN211" s="30"/>
      <c r="PO211" s="30"/>
      <c r="PP211" s="30"/>
      <c r="PQ211" s="30"/>
      <c r="PR211" s="30"/>
      <c r="PS211" s="30"/>
      <c r="PT211" s="30"/>
      <c r="PU211" s="30"/>
      <c r="PV211" s="30"/>
      <c r="PW211" s="30"/>
      <c r="PX211" s="30"/>
      <c r="PY211" s="30"/>
      <c r="PZ211" s="30"/>
      <c r="QA211" s="30"/>
      <c r="QB211" s="30"/>
      <c r="QC211" s="30"/>
      <c r="QD211" s="30"/>
      <c r="QE211" s="30"/>
      <c r="QF211" s="30"/>
      <c r="QG211" s="30"/>
      <c r="QH211" s="30"/>
      <c r="QI211" s="30"/>
      <c r="QJ211" s="30"/>
      <c r="QK211" s="30"/>
      <c r="QL211" s="30"/>
      <c r="QM211" s="30"/>
      <c r="QN211" s="30"/>
      <c r="QO211" s="30"/>
      <c r="QP211" s="30"/>
      <c r="QQ211" s="30"/>
      <c r="QR211" s="30"/>
      <c r="QS211" s="30"/>
      <c r="QT211" s="30"/>
      <c r="QU211" s="30"/>
      <c r="QV211" s="30"/>
      <c r="QW211" s="30"/>
      <c r="QX211" s="30"/>
      <c r="QY211" s="30"/>
      <c r="QZ211" s="30"/>
      <c r="RA211" s="30"/>
      <c r="RB211" s="30"/>
      <c r="RC211" s="30"/>
      <c r="RD211" s="30"/>
      <c r="RE211" s="30"/>
      <c r="RF211" s="30"/>
      <c r="RG211" s="30"/>
      <c r="RH211" s="30"/>
      <c r="RI211" s="30"/>
      <c r="RJ211" s="30"/>
      <c r="RK211" s="30"/>
      <c r="RL211" s="30"/>
      <c r="RM211" s="30"/>
      <c r="RN211" s="30"/>
      <c r="RO211" s="30"/>
      <c r="RP211" s="30"/>
      <c r="RQ211" s="30"/>
      <c r="RR211" s="30"/>
      <c r="RS211" s="30"/>
      <c r="RT211" s="30"/>
      <c r="RU211" s="30"/>
      <c r="RV211" s="30"/>
      <c r="RW211" s="30"/>
      <c r="RX211" s="30"/>
      <c r="RY211" s="30"/>
      <c r="RZ211" s="30"/>
      <c r="SA211" s="30"/>
      <c r="SB211" s="30"/>
      <c r="SC211" s="30"/>
      <c r="SD211" s="30"/>
      <c r="SE211" s="30"/>
      <c r="SF211" s="30"/>
      <c r="SG211" s="30"/>
      <c r="SH211" s="30"/>
      <c r="SI211" s="30"/>
      <c r="SJ211" s="30"/>
      <c r="SK211" s="30"/>
      <c r="SL211" s="30"/>
      <c r="SM211" s="30"/>
      <c r="SN211" s="30"/>
      <c r="SO211" s="30"/>
      <c r="SP211" s="30"/>
      <c r="SQ211" s="30"/>
      <c r="SR211" s="30"/>
      <c r="SS211" s="30"/>
      <c r="ST211" s="30"/>
      <c r="SU211" s="30"/>
      <c r="SV211" s="30"/>
      <c r="SW211" s="30"/>
      <c r="SX211" s="30"/>
      <c r="SY211" s="30"/>
      <c r="SZ211" s="30"/>
      <c r="TA211" s="30"/>
      <c r="TB211" s="30"/>
      <c r="TC211" s="30"/>
      <c r="TD211" s="30"/>
      <c r="TE211" s="30"/>
      <c r="TF211" s="30"/>
      <c r="TG211" s="30"/>
      <c r="TH211" s="30"/>
      <c r="TI211" s="30"/>
      <c r="TJ211" s="30"/>
      <c r="TK211" s="30"/>
      <c r="TL211" s="30"/>
      <c r="TM211" s="30"/>
      <c r="TN211" s="30"/>
      <c r="TO211" s="30"/>
      <c r="TP211" s="30"/>
      <c r="TQ211" s="30"/>
      <c r="TR211" s="30"/>
      <c r="TS211" s="30"/>
      <c r="TT211" s="30"/>
      <c r="TU211" s="30"/>
      <c r="TV211" s="30"/>
      <c r="TW211" s="30"/>
      <c r="TX211" s="30"/>
      <c r="TY211" s="30"/>
      <c r="TZ211" s="30"/>
      <c r="UA211" s="30"/>
      <c r="UB211" s="30"/>
      <c r="UC211" s="30"/>
      <c r="UD211" s="30"/>
      <c r="UE211" s="30"/>
      <c r="UF211" s="30"/>
      <c r="UG211" s="30"/>
      <c r="UH211" s="30"/>
      <c r="UI211" s="30"/>
      <c r="UJ211" s="30"/>
      <c r="UK211" s="30"/>
      <c r="UL211" s="30"/>
      <c r="UM211" s="30"/>
      <c r="UN211" s="30"/>
      <c r="UO211" s="30"/>
      <c r="UP211" s="30"/>
      <c r="UQ211" s="30"/>
      <c r="UR211" s="30"/>
      <c r="US211" s="30"/>
      <c r="UT211" s="30"/>
      <c r="UU211" s="30"/>
      <c r="UV211" s="30"/>
      <c r="UW211" s="30"/>
      <c r="UX211" s="30"/>
      <c r="UY211" s="30"/>
      <c r="UZ211" s="30"/>
      <c r="VA211" s="30"/>
      <c r="VB211" s="30"/>
      <c r="VC211" s="30"/>
      <c r="VD211" s="30"/>
      <c r="VE211" s="30"/>
      <c r="VF211" s="30"/>
      <c r="VG211" s="30"/>
      <c r="VH211" s="30"/>
      <c r="VI211" s="30"/>
      <c r="VJ211" s="30"/>
      <c r="VK211" s="30"/>
      <c r="VL211" s="30"/>
      <c r="VM211" s="30"/>
      <c r="VN211" s="30"/>
      <c r="VO211" s="30"/>
      <c r="VP211" s="30"/>
      <c r="VQ211" s="30"/>
      <c r="VR211" s="30"/>
      <c r="VS211" s="30"/>
      <c r="VT211" s="30"/>
      <c r="VU211" s="30"/>
      <c r="VV211" s="30"/>
      <c r="VW211" s="30"/>
      <c r="VX211" s="30"/>
      <c r="VY211" s="30"/>
      <c r="VZ211" s="30"/>
      <c r="WA211" s="30"/>
      <c r="WB211" s="30"/>
      <c r="WC211" s="30"/>
      <c r="WD211" s="30"/>
      <c r="WE211" s="30"/>
      <c r="WF211" s="30"/>
      <c r="WG211" s="30"/>
      <c r="WH211" s="30"/>
      <c r="WI211" s="30"/>
      <c r="WJ211" s="30"/>
      <c r="WK211" s="30"/>
      <c r="WL211" s="30"/>
      <c r="WM211" s="30"/>
      <c r="WN211" s="30"/>
      <c r="WO211" s="30"/>
      <c r="WP211" s="30"/>
      <c r="WQ211" s="30"/>
      <c r="WR211" s="30"/>
      <c r="WS211" s="30"/>
      <c r="WT211" s="30"/>
      <c r="WU211" s="30"/>
      <c r="WV211" s="30"/>
      <c r="WW211" s="30"/>
      <c r="WX211" s="30"/>
      <c r="WY211" s="30"/>
      <c r="WZ211" s="30"/>
      <c r="XA211" s="30"/>
      <c r="XB211" s="30"/>
      <c r="XC211" s="30"/>
      <c r="XD211" s="30"/>
      <c r="XE211" s="30"/>
      <c r="XF211" s="30"/>
      <c r="XG211" s="30"/>
      <c r="XH211" s="30"/>
      <c r="XI211" s="30"/>
      <c r="XJ211" s="30"/>
      <c r="XK211" s="30"/>
      <c r="XL211" s="30"/>
      <c r="XM211" s="30"/>
      <c r="XN211" s="30"/>
      <c r="XO211" s="30"/>
      <c r="XP211" s="30"/>
      <c r="XQ211" s="30"/>
      <c r="XR211" s="30"/>
      <c r="XS211" s="30"/>
      <c r="XT211" s="30"/>
      <c r="XU211" s="30"/>
      <c r="XV211" s="30"/>
      <c r="XW211" s="30"/>
      <c r="XX211" s="30"/>
      <c r="XY211" s="30"/>
      <c r="XZ211" s="30"/>
      <c r="YA211" s="30"/>
      <c r="YB211" s="30"/>
      <c r="YC211" s="30"/>
      <c r="YD211" s="30"/>
      <c r="YE211" s="30"/>
      <c r="YF211" s="30"/>
      <c r="YG211" s="30"/>
      <c r="YH211" s="30"/>
      <c r="YI211" s="30"/>
      <c r="YJ211" s="30"/>
      <c r="YK211" s="30"/>
      <c r="YL211" s="30"/>
      <c r="YM211" s="30"/>
      <c r="YN211" s="30"/>
      <c r="YO211" s="30"/>
      <c r="YP211" s="30"/>
      <c r="YQ211" s="30"/>
      <c r="YR211" s="30"/>
      <c r="YS211" s="30"/>
      <c r="YT211" s="30"/>
      <c r="YU211" s="30"/>
      <c r="YV211" s="30"/>
      <c r="YW211" s="30"/>
      <c r="YX211" s="30"/>
      <c r="YY211" s="30"/>
      <c r="YZ211" s="30"/>
      <c r="ZA211" s="30"/>
      <c r="ZB211" s="30"/>
      <c r="ZC211" s="30"/>
      <c r="ZD211" s="30"/>
      <c r="ZE211" s="30"/>
    </row>
    <row r="212" spans="1:681" s="28" customFormat="1" x14ac:dyDescent="0.2">
      <c r="A212" s="90" t="s">
        <v>787</v>
      </c>
      <c r="B212" s="90" t="s">
        <v>605</v>
      </c>
      <c r="C212" s="90" t="s">
        <v>571</v>
      </c>
      <c r="D212" s="39">
        <v>1</v>
      </c>
      <c r="E212" s="39" t="s">
        <v>421</v>
      </c>
      <c r="F212" s="79">
        <v>42166</v>
      </c>
      <c r="G212" s="79">
        <f t="shared" si="25"/>
        <v>42531</v>
      </c>
      <c r="H212" s="125" t="s">
        <v>174</v>
      </c>
      <c r="I212" s="38"/>
      <c r="J212" s="98" t="s">
        <v>625</v>
      </c>
      <c r="K212" s="1" t="s">
        <v>490</v>
      </c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/>
      <c r="AG212" s="30"/>
      <c r="AH212" s="30"/>
      <c r="AI212" s="30"/>
      <c r="AJ212" s="30"/>
      <c r="AK212" s="30"/>
      <c r="AL212" s="30"/>
      <c r="AM212" s="30"/>
      <c r="AN212" s="30"/>
      <c r="AO212" s="30"/>
      <c r="AP212" s="30"/>
      <c r="AQ212" s="30"/>
      <c r="AR212" s="30"/>
      <c r="AS212" s="30"/>
      <c r="AT212" s="30"/>
      <c r="AU212" s="30"/>
      <c r="AV212" s="30"/>
      <c r="AW212" s="30"/>
      <c r="AX212" s="30"/>
      <c r="AY212" s="30"/>
      <c r="AZ212" s="30"/>
      <c r="BA212" s="30"/>
      <c r="BB212" s="30"/>
      <c r="BC212" s="30"/>
      <c r="BD212" s="30"/>
      <c r="BE212" s="30"/>
      <c r="BF212" s="30"/>
      <c r="BG212" s="30"/>
      <c r="BH212" s="30"/>
      <c r="BI212" s="30"/>
      <c r="BJ212" s="30"/>
      <c r="BK212" s="30"/>
      <c r="BL212" s="30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  <c r="DB212" s="30"/>
      <c r="DC212" s="30"/>
      <c r="DD212" s="30"/>
      <c r="DE212" s="30"/>
      <c r="DF212" s="30"/>
      <c r="DG212" s="30"/>
      <c r="DH212" s="30"/>
      <c r="DI212" s="30"/>
      <c r="DJ212" s="30"/>
      <c r="DK212" s="30"/>
      <c r="DL212" s="30"/>
      <c r="DM212" s="30"/>
      <c r="DN212" s="30"/>
      <c r="DO212" s="30"/>
      <c r="DP212" s="30"/>
      <c r="DQ212" s="30"/>
      <c r="DR212" s="30"/>
      <c r="DS212" s="30"/>
      <c r="DT212" s="30"/>
      <c r="DU212" s="30"/>
      <c r="DV212" s="30"/>
      <c r="DW212" s="30"/>
      <c r="DX212" s="30"/>
      <c r="DY212" s="30"/>
      <c r="DZ212" s="30"/>
      <c r="EA212" s="30"/>
      <c r="EB212" s="30"/>
      <c r="EC212" s="30"/>
      <c r="ED212" s="30"/>
      <c r="EE212" s="30"/>
      <c r="EF212" s="30"/>
      <c r="EG212" s="30"/>
      <c r="EH212" s="30"/>
      <c r="EI212" s="30"/>
      <c r="EJ212" s="30"/>
      <c r="EK212" s="30"/>
      <c r="EL212" s="30"/>
      <c r="EM212" s="30"/>
      <c r="EN212" s="30"/>
      <c r="EO212" s="30"/>
      <c r="EP212" s="30"/>
      <c r="EQ212" s="30"/>
      <c r="ER212" s="30"/>
      <c r="ES212" s="30"/>
      <c r="ET212" s="30"/>
      <c r="EU212" s="30"/>
      <c r="EV212" s="30"/>
      <c r="EW212" s="30"/>
      <c r="EX212" s="30"/>
      <c r="EY212" s="30"/>
      <c r="EZ212" s="30"/>
      <c r="FA212" s="30"/>
      <c r="FB212" s="30"/>
      <c r="FC212" s="30"/>
      <c r="FD212" s="30"/>
      <c r="FE212" s="30"/>
      <c r="FF212" s="30"/>
      <c r="FG212" s="30"/>
      <c r="FH212" s="30"/>
      <c r="FI212" s="30"/>
      <c r="FJ212" s="30"/>
      <c r="FK212" s="30"/>
      <c r="FL212" s="30"/>
      <c r="FM212" s="30"/>
      <c r="FN212" s="30"/>
      <c r="FO212" s="30"/>
      <c r="FP212" s="30"/>
      <c r="FQ212" s="30"/>
      <c r="FR212" s="30"/>
      <c r="FS212" s="30"/>
      <c r="FT212" s="30"/>
      <c r="FU212" s="30"/>
      <c r="FV212" s="30"/>
      <c r="FW212" s="30"/>
      <c r="FX212" s="30"/>
      <c r="FY212" s="30"/>
      <c r="FZ212" s="30"/>
      <c r="GA212" s="30"/>
      <c r="GB212" s="30"/>
      <c r="GC212" s="30"/>
      <c r="GD212" s="30"/>
      <c r="GE212" s="30"/>
      <c r="GF212" s="30"/>
      <c r="GG212" s="30"/>
      <c r="GH212" s="30"/>
      <c r="GI212" s="30"/>
      <c r="GJ212" s="30"/>
      <c r="GK212" s="30"/>
      <c r="GL212" s="30"/>
      <c r="GM212" s="30"/>
      <c r="GN212" s="30"/>
      <c r="GO212" s="30"/>
      <c r="GP212" s="30"/>
      <c r="GQ212" s="30"/>
      <c r="GR212" s="30"/>
      <c r="GS212" s="30"/>
      <c r="GT212" s="30"/>
      <c r="GU212" s="30"/>
      <c r="GV212" s="30"/>
      <c r="GW212" s="30"/>
      <c r="GX212" s="30"/>
      <c r="GY212" s="30"/>
      <c r="GZ212" s="30"/>
      <c r="HA212" s="30"/>
      <c r="HB212" s="30"/>
      <c r="HC212" s="30"/>
      <c r="HD212" s="30"/>
      <c r="HE212" s="30"/>
      <c r="HF212" s="30"/>
      <c r="HG212" s="30"/>
      <c r="HH212" s="30"/>
      <c r="HI212" s="30"/>
      <c r="HJ212" s="30"/>
      <c r="HK212" s="30"/>
      <c r="HL212" s="30"/>
      <c r="HM212" s="30"/>
      <c r="HN212" s="30"/>
      <c r="HO212" s="30"/>
      <c r="HP212" s="30"/>
      <c r="HQ212" s="30"/>
      <c r="HR212" s="30"/>
      <c r="HS212" s="30"/>
      <c r="HT212" s="30"/>
      <c r="HU212" s="30"/>
      <c r="HV212" s="30"/>
      <c r="HW212" s="30"/>
      <c r="HX212" s="30"/>
      <c r="HY212" s="30"/>
      <c r="HZ212" s="30"/>
      <c r="IA212" s="30"/>
      <c r="IB212" s="30"/>
      <c r="IC212" s="30"/>
      <c r="ID212" s="30"/>
      <c r="IE212" s="30"/>
      <c r="IF212" s="30"/>
      <c r="IG212" s="30"/>
      <c r="IH212" s="30"/>
      <c r="II212" s="30"/>
      <c r="IJ212" s="30"/>
      <c r="IK212" s="30"/>
      <c r="IL212" s="30"/>
      <c r="IM212" s="30"/>
      <c r="IN212" s="30"/>
      <c r="IO212" s="30"/>
      <c r="IP212" s="30"/>
      <c r="IQ212" s="30"/>
      <c r="IR212" s="30"/>
      <c r="IS212" s="30"/>
      <c r="IT212" s="30"/>
      <c r="IU212" s="30"/>
      <c r="IV212" s="30"/>
      <c r="IW212" s="30"/>
      <c r="IX212" s="30"/>
      <c r="IY212" s="30"/>
      <c r="IZ212" s="30"/>
      <c r="JA212" s="30"/>
      <c r="JB212" s="30"/>
      <c r="JC212" s="30"/>
      <c r="JD212" s="30"/>
      <c r="JE212" s="30"/>
      <c r="JF212" s="30"/>
      <c r="JG212" s="30"/>
      <c r="JH212" s="30"/>
      <c r="JI212" s="30"/>
      <c r="JJ212" s="30"/>
      <c r="JK212" s="30"/>
      <c r="JL212" s="30"/>
      <c r="JM212" s="30"/>
      <c r="JN212" s="30"/>
      <c r="JO212" s="30"/>
      <c r="JP212" s="30"/>
      <c r="JQ212" s="30"/>
      <c r="JR212" s="30"/>
      <c r="JS212" s="30"/>
      <c r="JT212" s="30"/>
      <c r="JU212" s="30"/>
      <c r="JV212" s="30"/>
      <c r="JW212" s="30"/>
      <c r="JX212" s="30"/>
      <c r="JY212" s="30"/>
      <c r="JZ212" s="30"/>
      <c r="KA212" s="30"/>
      <c r="KB212" s="30"/>
      <c r="KC212" s="30"/>
      <c r="KD212" s="30"/>
      <c r="KE212" s="30"/>
      <c r="KF212" s="30"/>
      <c r="KG212" s="30"/>
      <c r="KH212" s="30"/>
      <c r="KI212" s="30"/>
      <c r="KJ212" s="30"/>
      <c r="KK212" s="30"/>
      <c r="KL212" s="30"/>
      <c r="KM212" s="30"/>
      <c r="KN212" s="30"/>
      <c r="KO212" s="30"/>
      <c r="KP212" s="30"/>
      <c r="KQ212" s="30"/>
      <c r="KR212" s="30"/>
      <c r="KS212" s="30"/>
      <c r="KT212" s="30"/>
      <c r="KU212" s="30"/>
      <c r="KV212" s="30"/>
      <c r="KW212" s="30"/>
      <c r="KX212" s="30"/>
      <c r="KY212" s="30"/>
      <c r="KZ212" s="30"/>
      <c r="LA212" s="30"/>
      <c r="LB212" s="30"/>
      <c r="LC212" s="30"/>
      <c r="LD212" s="30"/>
      <c r="LE212" s="30"/>
      <c r="LF212" s="30"/>
      <c r="LG212" s="30"/>
      <c r="LH212" s="30"/>
      <c r="LI212" s="30"/>
      <c r="LJ212" s="30"/>
      <c r="LK212" s="30"/>
      <c r="LL212" s="30"/>
      <c r="LM212" s="30"/>
      <c r="LN212" s="30"/>
      <c r="LO212" s="30"/>
      <c r="LP212" s="30"/>
      <c r="LQ212" s="30"/>
      <c r="LR212" s="30"/>
      <c r="LS212" s="30"/>
      <c r="LT212" s="30"/>
      <c r="LU212" s="30"/>
      <c r="LV212" s="30"/>
      <c r="LW212" s="30"/>
      <c r="LX212" s="30"/>
      <c r="LY212" s="30"/>
      <c r="LZ212" s="30"/>
      <c r="MA212" s="30"/>
      <c r="MB212" s="30"/>
      <c r="MC212" s="30"/>
      <c r="MD212" s="30"/>
      <c r="ME212" s="30"/>
      <c r="MF212" s="30"/>
      <c r="MG212" s="30"/>
      <c r="MH212" s="30"/>
      <c r="MI212" s="30"/>
      <c r="MJ212" s="30"/>
      <c r="MK212" s="30"/>
      <c r="ML212" s="30"/>
      <c r="MM212" s="30"/>
      <c r="MN212" s="30"/>
      <c r="MO212" s="30"/>
      <c r="MP212" s="30"/>
      <c r="MQ212" s="30"/>
      <c r="MR212" s="30"/>
      <c r="MS212" s="30"/>
      <c r="MT212" s="30"/>
      <c r="MU212" s="30"/>
      <c r="MV212" s="30"/>
      <c r="MW212" s="30"/>
      <c r="MX212" s="30"/>
      <c r="MY212" s="30"/>
      <c r="MZ212" s="30"/>
      <c r="NA212" s="30"/>
      <c r="NB212" s="30"/>
      <c r="NC212" s="30"/>
      <c r="ND212" s="30"/>
      <c r="NE212" s="30"/>
      <c r="NF212" s="30"/>
      <c r="NG212" s="30"/>
      <c r="NH212" s="30"/>
      <c r="NI212" s="30"/>
      <c r="NJ212" s="30"/>
      <c r="NK212" s="30"/>
      <c r="NL212" s="30"/>
      <c r="NM212" s="30"/>
      <c r="NN212" s="30"/>
      <c r="NO212" s="30"/>
      <c r="NP212" s="30"/>
      <c r="NQ212" s="30"/>
      <c r="NR212" s="30"/>
      <c r="NS212" s="30"/>
      <c r="NT212" s="30"/>
      <c r="NU212" s="30"/>
      <c r="NV212" s="30"/>
      <c r="NW212" s="30"/>
      <c r="NX212" s="30"/>
      <c r="NY212" s="30"/>
      <c r="NZ212" s="30"/>
      <c r="OA212" s="30"/>
      <c r="OB212" s="30"/>
      <c r="OC212" s="30"/>
      <c r="OD212" s="30"/>
      <c r="OE212" s="30"/>
      <c r="OF212" s="30"/>
      <c r="OG212" s="30"/>
      <c r="OH212" s="30"/>
      <c r="OI212" s="30"/>
      <c r="OJ212" s="30"/>
      <c r="OK212" s="30"/>
      <c r="OL212" s="30"/>
      <c r="OM212" s="30"/>
      <c r="ON212" s="30"/>
      <c r="OO212" s="30"/>
      <c r="OP212" s="30"/>
      <c r="OQ212" s="30"/>
      <c r="OR212" s="30"/>
      <c r="OS212" s="30"/>
      <c r="OT212" s="30"/>
      <c r="OU212" s="30"/>
      <c r="OV212" s="30"/>
      <c r="OW212" s="30"/>
      <c r="OX212" s="30"/>
      <c r="OY212" s="30"/>
      <c r="OZ212" s="30"/>
      <c r="PA212" s="30"/>
      <c r="PB212" s="30"/>
      <c r="PC212" s="30"/>
      <c r="PD212" s="30"/>
      <c r="PE212" s="30"/>
      <c r="PF212" s="30"/>
      <c r="PG212" s="30"/>
      <c r="PH212" s="30"/>
      <c r="PI212" s="30"/>
      <c r="PJ212" s="30"/>
      <c r="PK212" s="30"/>
      <c r="PL212" s="30"/>
      <c r="PM212" s="30"/>
      <c r="PN212" s="30"/>
      <c r="PO212" s="30"/>
      <c r="PP212" s="30"/>
      <c r="PQ212" s="30"/>
      <c r="PR212" s="30"/>
      <c r="PS212" s="30"/>
      <c r="PT212" s="30"/>
      <c r="PU212" s="30"/>
      <c r="PV212" s="30"/>
      <c r="PW212" s="30"/>
      <c r="PX212" s="30"/>
      <c r="PY212" s="30"/>
      <c r="PZ212" s="30"/>
      <c r="QA212" s="30"/>
      <c r="QB212" s="30"/>
      <c r="QC212" s="30"/>
      <c r="QD212" s="30"/>
      <c r="QE212" s="30"/>
      <c r="QF212" s="30"/>
      <c r="QG212" s="30"/>
      <c r="QH212" s="30"/>
      <c r="QI212" s="30"/>
      <c r="QJ212" s="30"/>
      <c r="QK212" s="30"/>
      <c r="QL212" s="30"/>
      <c r="QM212" s="30"/>
      <c r="QN212" s="30"/>
      <c r="QO212" s="30"/>
      <c r="QP212" s="30"/>
      <c r="QQ212" s="30"/>
      <c r="QR212" s="30"/>
      <c r="QS212" s="30"/>
      <c r="QT212" s="30"/>
      <c r="QU212" s="30"/>
      <c r="QV212" s="30"/>
      <c r="QW212" s="30"/>
      <c r="QX212" s="30"/>
      <c r="QY212" s="30"/>
      <c r="QZ212" s="30"/>
      <c r="RA212" s="30"/>
      <c r="RB212" s="30"/>
      <c r="RC212" s="30"/>
      <c r="RD212" s="30"/>
      <c r="RE212" s="30"/>
      <c r="RF212" s="30"/>
      <c r="RG212" s="30"/>
      <c r="RH212" s="30"/>
      <c r="RI212" s="30"/>
      <c r="RJ212" s="30"/>
      <c r="RK212" s="30"/>
      <c r="RL212" s="30"/>
      <c r="RM212" s="30"/>
      <c r="RN212" s="30"/>
      <c r="RO212" s="30"/>
      <c r="RP212" s="30"/>
      <c r="RQ212" s="30"/>
      <c r="RR212" s="30"/>
      <c r="RS212" s="30"/>
      <c r="RT212" s="30"/>
      <c r="RU212" s="30"/>
      <c r="RV212" s="30"/>
      <c r="RW212" s="30"/>
      <c r="RX212" s="30"/>
      <c r="RY212" s="30"/>
      <c r="RZ212" s="30"/>
      <c r="SA212" s="30"/>
      <c r="SB212" s="30"/>
      <c r="SC212" s="30"/>
      <c r="SD212" s="30"/>
      <c r="SE212" s="30"/>
      <c r="SF212" s="30"/>
      <c r="SG212" s="30"/>
      <c r="SH212" s="30"/>
      <c r="SI212" s="30"/>
      <c r="SJ212" s="30"/>
      <c r="SK212" s="30"/>
      <c r="SL212" s="30"/>
      <c r="SM212" s="30"/>
      <c r="SN212" s="30"/>
      <c r="SO212" s="30"/>
      <c r="SP212" s="30"/>
      <c r="SQ212" s="30"/>
      <c r="SR212" s="30"/>
      <c r="SS212" s="30"/>
      <c r="ST212" s="30"/>
      <c r="SU212" s="30"/>
      <c r="SV212" s="30"/>
      <c r="SW212" s="30"/>
      <c r="SX212" s="30"/>
      <c r="SY212" s="30"/>
      <c r="SZ212" s="30"/>
      <c r="TA212" s="30"/>
      <c r="TB212" s="30"/>
      <c r="TC212" s="30"/>
      <c r="TD212" s="30"/>
      <c r="TE212" s="30"/>
      <c r="TF212" s="30"/>
      <c r="TG212" s="30"/>
      <c r="TH212" s="30"/>
      <c r="TI212" s="30"/>
      <c r="TJ212" s="30"/>
      <c r="TK212" s="30"/>
      <c r="TL212" s="30"/>
      <c r="TM212" s="30"/>
      <c r="TN212" s="30"/>
      <c r="TO212" s="30"/>
      <c r="TP212" s="30"/>
      <c r="TQ212" s="30"/>
      <c r="TR212" s="30"/>
      <c r="TS212" s="30"/>
      <c r="TT212" s="30"/>
      <c r="TU212" s="30"/>
      <c r="TV212" s="30"/>
      <c r="TW212" s="30"/>
      <c r="TX212" s="30"/>
      <c r="TY212" s="30"/>
      <c r="TZ212" s="30"/>
      <c r="UA212" s="30"/>
      <c r="UB212" s="30"/>
      <c r="UC212" s="30"/>
      <c r="UD212" s="30"/>
      <c r="UE212" s="30"/>
      <c r="UF212" s="30"/>
      <c r="UG212" s="30"/>
      <c r="UH212" s="30"/>
      <c r="UI212" s="30"/>
      <c r="UJ212" s="30"/>
      <c r="UK212" s="30"/>
      <c r="UL212" s="30"/>
      <c r="UM212" s="30"/>
      <c r="UN212" s="30"/>
      <c r="UO212" s="30"/>
      <c r="UP212" s="30"/>
      <c r="UQ212" s="30"/>
      <c r="UR212" s="30"/>
      <c r="US212" s="30"/>
      <c r="UT212" s="30"/>
      <c r="UU212" s="30"/>
      <c r="UV212" s="30"/>
      <c r="UW212" s="30"/>
      <c r="UX212" s="30"/>
      <c r="UY212" s="30"/>
      <c r="UZ212" s="30"/>
      <c r="VA212" s="30"/>
      <c r="VB212" s="30"/>
      <c r="VC212" s="30"/>
      <c r="VD212" s="30"/>
      <c r="VE212" s="30"/>
      <c r="VF212" s="30"/>
      <c r="VG212" s="30"/>
      <c r="VH212" s="30"/>
      <c r="VI212" s="30"/>
      <c r="VJ212" s="30"/>
      <c r="VK212" s="30"/>
      <c r="VL212" s="30"/>
      <c r="VM212" s="30"/>
      <c r="VN212" s="30"/>
      <c r="VO212" s="30"/>
      <c r="VP212" s="30"/>
      <c r="VQ212" s="30"/>
      <c r="VR212" s="30"/>
      <c r="VS212" s="30"/>
      <c r="VT212" s="30"/>
      <c r="VU212" s="30"/>
      <c r="VV212" s="30"/>
      <c r="VW212" s="30"/>
      <c r="VX212" s="30"/>
      <c r="VY212" s="30"/>
      <c r="VZ212" s="30"/>
      <c r="WA212" s="30"/>
      <c r="WB212" s="30"/>
      <c r="WC212" s="30"/>
      <c r="WD212" s="30"/>
      <c r="WE212" s="30"/>
      <c r="WF212" s="30"/>
      <c r="WG212" s="30"/>
      <c r="WH212" s="30"/>
      <c r="WI212" s="30"/>
      <c r="WJ212" s="30"/>
      <c r="WK212" s="30"/>
      <c r="WL212" s="30"/>
      <c r="WM212" s="30"/>
      <c r="WN212" s="30"/>
      <c r="WO212" s="30"/>
      <c r="WP212" s="30"/>
      <c r="WQ212" s="30"/>
      <c r="WR212" s="30"/>
      <c r="WS212" s="30"/>
      <c r="WT212" s="30"/>
      <c r="WU212" s="30"/>
      <c r="WV212" s="30"/>
      <c r="WW212" s="30"/>
      <c r="WX212" s="30"/>
      <c r="WY212" s="30"/>
      <c r="WZ212" s="30"/>
      <c r="XA212" s="30"/>
      <c r="XB212" s="30"/>
      <c r="XC212" s="30"/>
      <c r="XD212" s="30"/>
      <c r="XE212" s="30"/>
      <c r="XF212" s="30"/>
      <c r="XG212" s="30"/>
      <c r="XH212" s="30"/>
      <c r="XI212" s="30"/>
      <c r="XJ212" s="30"/>
      <c r="XK212" s="30"/>
      <c r="XL212" s="30"/>
      <c r="XM212" s="30"/>
      <c r="XN212" s="30"/>
      <c r="XO212" s="30"/>
      <c r="XP212" s="30"/>
      <c r="XQ212" s="30"/>
      <c r="XR212" s="30"/>
      <c r="XS212" s="30"/>
      <c r="XT212" s="30"/>
      <c r="XU212" s="30"/>
      <c r="XV212" s="30"/>
      <c r="XW212" s="30"/>
      <c r="XX212" s="30"/>
      <c r="XY212" s="30"/>
      <c r="XZ212" s="30"/>
      <c r="YA212" s="30"/>
      <c r="YB212" s="30"/>
      <c r="YC212" s="30"/>
      <c r="YD212" s="30"/>
      <c r="YE212" s="30"/>
      <c r="YF212" s="30"/>
      <c r="YG212" s="30"/>
      <c r="YH212" s="30"/>
      <c r="YI212" s="30"/>
      <c r="YJ212" s="30"/>
      <c r="YK212" s="30"/>
      <c r="YL212" s="30"/>
      <c r="YM212" s="30"/>
      <c r="YN212" s="30"/>
      <c r="YO212" s="30"/>
      <c r="YP212" s="30"/>
      <c r="YQ212" s="30"/>
      <c r="YR212" s="30"/>
      <c r="YS212" s="30"/>
      <c r="YT212" s="30"/>
      <c r="YU212" s="30"/>
      <c r="YV212" s="30"/>
      <c r="YW212" s="30"/>
      <c r="YX212" s="30"/>
      <c r="YY212" s="30"/>
      <c r="YZ212" s="30"/>
      <c r="ZA212" s="30"/>
      <c r="ZB212" s="30"/>
      <c r="ZC212" s="30"/>
      <c r="ZD212" s="30"/>
      <c r="ZE212" s="30"/>
    </row>
    <row r="213" spans="1:681" s="28" customFormat="1" x14ac:dyDescent="0.2">
      <c r="A213" s="90" t="s">
        <v>608</v>
      </c>
      <c r="B213" s="90"/>
      <c r="C213" s="90">
        <v>131681</v>
      </c>
      <c r="D213" s="39">
        <v>1</v>
      </c>
      <c r="E213" s="39" t="s">
        <v>411</v>
      </c>
      <c r="F213" s="79"/>
      <c r="G213" s="79"/>
      <c r="H213" s="38" t="s">
        <v>563</v>
      </c>
      <c r="I213" s="38"/>
      <c r="J213" s="98"/>
      <c r="K213" s="1" t="s">
        <v>485</v>
      </c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/>
      <c r="AG213" s="30"/>
      <c r="AH213" s="30"/>
      <c r="AI213" s="30"/>
      <c r="AJ213" s="30"/>
      <c r="AK213" s="30"/>
      <c r="AL213" s="30"/>
      <c r="AM213" s="30"/>
      <c r="AN213" s="30"/>
      <c r="AO213" s="30"/>
      <c r="AP213" s="30"/>
      <c r="AQ213" s="30"/>
      <c r="AR213" s="30"/>
      <c r="AS213" s="30"/>
      <c r="AT213" s="30"/>
      <c r="AU213" s="30"/>
      <c r="AV213" s="30"/>
      <c r="AW213" s="30"/>
      <c r="AX213" s="30"/>
      <c r="AY213" s="30"/>
      <c r="AZ213" s="30"/>
      <c r="BA213" s="30"/>
      <c r="BB213" s="30"/>
      <c r="BC213" s="30"/>
      <c r="BD213" s="30"/>
      <c r="BE213" s="30"/>
      <c r="BF213" s="30"/>
      <c r="BG213" s="30"/>
      <c r="BH213" s="30"/>
      <c r="BI213" s="30"/>
      <c r="BJ213" s="30"/>
      <c r="BK213" s="30"/>
      <c r="BL213" s="30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  <c r="DB213" s="30"/>
      <c r="DC213" s="30"/>
      <c r="DD213" s="30"/>
      <c r="DE213" s="30"/>
      <c r="DF213" s="30"/>
      <c r="DG213" s="30"/>
      <c r="DH213" s="30"/>
      <c r="DI213" s="30"/>
      <c r="DJ213" s="30"/>
      <c r="DK213" s="30"/>
      <c r="DL213" s="30"/>
      <c r="DM213" s="30"/>
      <c r="DN213" s="30"/>
      <c r="DO213" s="30"/>
      <c r="DP213" s="30"/>
      <c r="DQ213" s="30"/>
      <c r="DR213" s="30"/>
      <c r="DS213" s="30"/>
      <c r="DT213" s="30"/>
      <c r="DU213" s="30"/>
      <c r="DV213" s="30"/>
      <c r="DW213" s="30"/>
      <c r="DX213" s="30"/>
      <c r="DY213" s="30"/>
      <c r="DZ213" s="30"/>
      <c r="EA213" s="30"/>
      <c r="EB213" s="30"/>
      <c r="EC213" s="30"/>
      <c r="ED213" s="30"/>
      <c r="EE213" s="30"/>
      <c r="EF213" s="30"/>
      <c r="EG213" s="30"/>
      <c r="EH213" s="30"/>
      <c r="EI213" s="30"/>
      <c r="EJ213" s="30"/>
      <c r="EK213" s="30"/>
      <c r="EL213" s="30"/>
      <c r="EM213" s="30"/>
      <c r="EN213" s="30"/>
      <c r="EO213" s="30"/>
      <c r="EP213" s="30"/>
      <c r="EQ213" s="30"/>
      <c r="ER213" s="30"/>
      <c r="ES213" s="30"/>
      <c r="ET213" s="30"/>
      <c r="EU213" s="30"/>
      <c r="EV213" s="30"/>
      <c r="EW213" s="30"/>
      <c r="EX213" s="30"/>
      <c r="EY213" s="30"/>
      <c r="EZ213" s="30"/>
      <c r="FA213" s="30"/>
      <c r="FB213" s="30"/>
      <c r="FC213" s="30"/>
      <c r="FD213" s="30"/>
      <c r="FE213" s="30"/>
      <c r="FF213" s="30"/>
      <c r="FG213" s="30"/>
      <c r="FH213" s="30"/>
      <c r="FI213" s="30"/>
      <c r="FJ213" s="30"/>
      <c r="FK213" s="30"/>
      <c r="FL213" s="30"/>
      <c r="FM213" s="30"/>
      <c r="FN213" s="30"/>
      <c r="FO213" s="30"/>
      <c r="FP213" s="30"/>
      <c r="FQ213" s="30"/>
      <c r="FR213" s="30"/>
      <c r="FS213" s="30"/>
      <c r="FT213" s="30"/>
      <c r="FU213" s="30"/>
      <c r="FV213" s="30"/>
      <c r="FW213" s="30"/>
      <c r="FX213" s="30"/>
      <c r="FY213" s="30"/>
      <c r="FZ213" s="30"/>
      <c r="GA213" s="30"/>
      <c r="GB213" s="30"/>
      <c r="GC213" s="30"/>
      <c r="GD213" s="30"/>
      <c r="GE213" s="30"/>
      <c r="GF213" s="30"/>
      <c r="GG213" s="30"/>
      <c r="GH213" s="30"/>
      <c r="GI213" s="30"/>
      <c r="GJ213" s="30"/>
      <c r="GK213" s="30"/>
      <c r="GL213" s="30"/>
      <c r="GM213" s="30"/>
      <c r="GN213" s="30"/>
      <c r="GO213" s="30"/>
      <c r="GP213" s="30"/>
      <c r="GQ213" s="30"/>
      <c r="GR213" s="30"/>
      <c r="GS213" s="30"/>
      <c r="GT213" s="30"/>
      <c r="GU213" s="30"/>
      <c r="GV213" s="30"/>
      <c r="GW213" s="30"/>
      <c r="GX213" s="30"/>
      <c r="GY213" s="30"/>
      <c r="GZ213" s="30"/>
      <c r="HA213" s="30"/>
      <c r="HB213" s="30"/>
      <c r="HC213" s="30"/>
      <c r="HD213" s="30"/>
      <c r="HE213" s="30"/>
      <c r="HF213" s="30"/>
      <c r="HG213" s="30"/>
      <c r="HH213" s="30"/>
      <c r="HI213" s="30"/>
      <c r="HJ213" s="30"/>
      <c r="HK213" s="30"/>
      <c r="HL213" s="30"/>
      <c r="HM213" s="30"/>
      <c r="HN213" s="30"/>
      <c r="HO213" s="30"/>
      <c r="HP213" s="30"/>
      <c r="HQ213" s="30"/>
      <c r="HR213" s="30"/>
      <c r="HS213" s="30"/>
      <c r="HT213" s="30"/>
      <c r="HU213" s="30"/>
      <c r="HV213" s="30"/>
      <c r="HW213" s="30"/>
      <c r="HX213" s="30"/>
      <c r="HY213" s="30"/>
      <c r="HZ213" s="30"/>
      <c r="IA213" s="30"/>
      <c r="IB213" s="30"/>
      <c r="IC213" s="30"/>
      <c r="ID213" s="30"/>
      <c r="IE213" s="30"/>
      <c r="IF213" s="30"/>
      <c r="IG213" s="30"/>
      <c r="IH213" s="30"/>
      <c r="II213" s="30"/>
      <c r="IJ213" s="30"/>
      <c r="IK213" s="30"/>
      <c r="IL213" s="30"/>
      <c r="IM213" s="30"/>
      <c r="IN213" s="30"/>
      <c r="IO213" s="30"/>
      <c r="IP213" s="30"/>
      <c r="IQ213" s="30"/>
      <c r="IR213" s="30"/>
      <c r="IS213" s="30"/>
      <c r="IT213" s="30"/>
      <c r="IU213" s="30"/>
      <c r="IV213" s="30"/>
      <c r="IW213" s="30"/>
      <c r="IX213" s="30"/>
      <c r="IY213" s="30"/>
      <c r="IZ213" s="30"/>
      <c r="JA213" s="30"/>
      <c r="JB213" s="30"/>
      <c r="JC213" s="30"/>
      <c r="JD213" s="30"/>
      <c r="JE213" s="30"/>
      <c r="JF213" s="30"/>
      <c r="JG213" s="30"/>
      <c r="JH213" s="30"/>
      <c r="JI213" s="30"/>
      <c r="JJ213" s="30"/>
      <c r="JK213" s="30"/>
      <c r="JL213" s="30"/>
      <c r="JM213" s="30"/>
      <c r="JN213" s="30"/>
      <c r="JO213" s="30"/>
      <c r="JP213" s="30"/>
      <c r="JQ213" s="30"/>
      <c r="JR213" s="30"/>
      <c r="JS213" s="30"/>
      <c r="JT213" s="30"/>
      <c r="JU213" s="30"/>
      <c r="JV213" s="30"/>
      <c r="JW213" s="30"/>
      <c r="JX213" s="30"/>
      <c r="JY213" s="30"/>
      <c r="JZ213" s="30"/>
      <c r="KA213" s="30"/>
      <c r="KB213" s="30"/>
      <c r="KC213" s="30"/>
      <c r="KD213" s="30"/>
      <c r="KE213" s="30"/>
      <c r="KF213" s="30"/>
      <c r="KG213" s="30"/>
      <c r="KH213" s="30"/>
      <c r="KI213" s="30"/>
      <c r="KJ213" s="30"/>
      <c r="KK213" s="30"/>
      <c r="KL213" s="30"/>
      <c r="KM213" s="30"/>
      <c r="KN213" s="30"/>
      <c r="KO213" s="30"/>
      <c r="KP213" s="30"/>
      <c r="KQ213" s="30"/>
      <c r="KR213" s="30"/>
      <c r="KS213" s="30"/>
      <c r="KT213" s="30"/>
      <c r="KU213" s="30"/>
      <c r="KV213" s="30"/>
      <c r="KW213" s="30"/>
      <c r="KX213" s="30"/>
      <c r="KY213" s="30"/>
      <c r="KZ213" s="30"/>
      <c r="LA213" s="30"/>
      <c r="LB213" s="30"/>
      <c r="LC213" s="30"/>
      <c r="LD213" s="30"/>
      <c r="LE213" s="30"/>
      <c r="LF213" s="30"/>
      <c r="LG213" s="30"/>
      <c r="LH213" s="30"/>
      <c r="LI213" s="30"/>
      <c r="LJ213" s="30"/>
      <c r="LK213" s="30"/>
      <c r="LL213" s="30"/>
      <c r="LM213" s="30"/>
      <c r="LN213" s="30"/>
      <c r="LO213" s="30"/>
      <c r="LP213" s="30"/>
      <c r="LQ213" s="30"/>
      <c r="LR213" s="30"/>
      <c r="LS213" s="30"/>
      <c r="LT213" s="30"/>
      <c r="LU213" s="30"/>
      <c r="LV213" s="30"/>
      <c r="LW213" s="30"/>
      <c r="LX213" s="30"/>
      <c r="LY213" s="30"/>
      <c r="LZ213" s="30"/>
      <c r="MA213" s="30"/>
      <c r="MB213" s="30"/>
      <c r="MC213" s="30"/>
      <c r="MD213" s="30"/>
      <c r="ME213" s="30"/>
      <c r="MF213" s="30"/>
      <c r="MG213" s="30"/>
      <c r="MH213" s="30"/>
      <c r="MI213" s="30"/>
      <c r="MJ213" s="30"/>
      <c r="MK213" s="30"/>
      <c r="ML213" s="30"/>
      <c r="MM213" s="30"/>
      <c r="MN213" s="30"/>
      <c r="MO213" s="30"/>
      <c r="MP213" s="30"/>
      <c r="MQ213" s="30"/>
      <c r="MR213" s="30"/>
      <c r="MS213" s="30"/>
      <c r="MT213" s="30"/>
      <c r="MU213" s="30"/>
      <c r="MV213" s="30"/>
      <c r="MW213" s="30"/>
      <c r="MX213" s="30"/>
      <c r="MY213" s="30"/>
      <c r="MZ213" s="30"/>
      <c r="NA213" s="30"/>
      <c r="NB213" s="30"/>
      <c r="NC213" s="30"/>
      <c r="ND213" s="30"/>
      <c r="NE213" s="30"/>
      <c r="NF213" s="30"/>
      <c r="NG213" s="30"/>
      <c r="NH213" s="30"/>
      <c r="NI213" s="30"/>
      <c r="NJ213" s="30"/>
      <c r="NK213" s="30"/>
      <c r="NL213" s="30"/>
      <c r="NM213" s="30"/>
      <c r="NN213" s="30"/>
      <c r="NO213" s="30"/>
      <c r="NP213" s="30"/>
      <c r="NQ213" s="30"/>
      <c r="NR213" s="30"/>
      <c r="NS213" s="30"/>
      <c r="NT213" s="30"/>
      <c r="NU213" s="30"/>
      <c r="NV213" s="30"/>
      <c r="NW213" s="30"/>
      <c r="NX213" s="30"/>
      <c r="NY213" s="30"/>
      <c r="NZ213" s="30"/>
      <c r="OA213" s="30"/>
      <c r="OB213" s="30"/>
      <c r="OC213" s="30"/>
      <c r="OD213" s="30"/>
      <c r="OE213" s="30"/>
      <c r="OF213" s="30"/>
      <c r="OG213" s="30"/>
      <c r="OH213" s="30"/>
      <c r="OI213" s="30"/>
      <c r="OJ213" s="30"/>
      <c r="OK213" s="30"/>
      <c r="OL213" s="30"/>
      <c r="OM213" s="30"/>
      <c r="ON213" s="30"/>
      <c r="OO213" s="30"/>
      <c r="OP213" s="30"/>
      <c r="OQ213" s="30"/>
      <c r="OR213" s="30"/>
      <c r="OS213" s="30"/>
      <c r="OT213" s="30"/>
      <c r="OU213" s="30"/>
      <c r="OV213" s="30"/>
      <c r="OW213" s="30"/>
      <c r="OX213" s="30"/>
      <c r="OY213" s="30"/>
      <c r="OZ213" s="30"/>
      <c r="PA213" s="30"/>
      <c r="PB213" s="30"/>
      <c r="PC213" s="30"/>
      <c r="PD213" s="30"/>
      <c r="PE213" s="30"/>
      <c r="PF213" s="30"/>
      <c r="PG213" s="30"/>
      <c r="PH213" s="30"/>
      <c r="PI213" s="30"/>
      <c r="PJ213" s="30"/>
      <c r="PK213" s="30"/>
      <c r="PL213" s="30"/>
      <c r="PM213" s="30"/>
      <c r="PN213" s="30"/>
      <c r="PO213" s="30"/>
      <c r="PP213" s="30"/>
      <c r="PQ213" s="30"/>
      <c r="PR213" s="30"/>
      <c r="PS213" s="30"/>
      <c r="PT213" s="30"/>
      <c r="PU213" s="30"/>
      <c r="PV213" s="30"/>
      <c r="PW213" s="30"/>
      <c r="PX213" s="30"/>
      <c r="PY213" s="30"/>
      <c r="PZ213" s="30"/>
      <c r="QA213" s="30"/>
      <c r="QB213" s="30"/>
      <c r="QC213" s="30"/>
      <c r="QD213" s="30"/>
      <c r="QE213" s="30"/>
      <c r="QF213" s="30"/>
      <c r="QG213" s="30"/>
      <c r="QH213" s="30"/>
      <c r="QI213" s="30"/>
      <c r="QJ213" s="30"/>
      <c r="QK213" s="30"/>
      <c r="QL213" s="30"/>
      <c r="QM213" s="30"/>
      <c r="QN213" s="30"/>
      <c r="QO213" s="30"/>
      <c r="QP213" s="30"/>
      <c r="QQ213" s="30"/>
      <c r="QR213" s="30"/>
      <c r="QS213" s="30"/>
      <c r="QT213" s="30"/>
      <c r="QU213" s="30"/>
      <c r="QV213" s="30"/>
      <c r="QW213" s="30"/>
      <c r="QX213" s="30"/>
      <c r="QY213" s="30"/>
      <c r="QZ213" s="30"/>
      <c r="RA213" s="30"/>
      <c r="RB213" s="30"/>
      <c r="RC213" s="30"/>
      <c r="RD213" s="30"/>
      <c r="RE213" s="30"/>
      <c r="RF213" s="30"/>
      <c r="RG213" s="30"/>
      <c r="RH213" s="30"/>
      <c r="RI213" s="30"/>
      <c r="RJ213" s="30"/>
      <c r="RK213" s="30"/>
      <c r="RL213" s="30"/>
      <c r="RM213" s="30"/>
      <c r="RN213" s="30"/>
      <c r="RO213" s="30"/>
      <c r="RP213" s="30"/>
      <c r="RQ213" s="30"/>
      <c r="RR213" s="30"/>
      <c r="RS213" s="30"/>
      <c r="RT213" s="30"/>
      <c r="RU213" s="30"/>
      <c r="RV213" s="30"/>
      <c r="RW213" s="30"/>
      <c r="RX213" s="30"/>
      <c r="RY213" s="30"/>
      <c r="RZ213" s="30"/>
      <c r="SA213" s="30"/>
      <c r="SB213" s="30"/>
      <c r="SC213" s="30"/>
      <c r="SD213" s="30"/>
      <c r="SE213" s="30"/>
      <c r="SF213" s="30"/>
      <c r="SG213" s="30"/>
      <c r="SH213" s="30"/>
      <c r="SI213" s="30"/>
      <c r="SJ213" s="30"/>
      <c r="SK213" s="30"/>
      <c r="SL213" s="30"/>
      <c r="SM213" s="30"/>
      <c r="SN213" s="30"/>
      <c r="SO213" s="30"/>
      <c r="SP213" s="30"/>
      <c r="SQ213" s="30"/>
      <c r="SR213" s="30"/>
      <c r="SS213" s="30"/>
      <c r="ST213" s="30"/>
      <c r="SU213" s="30"/>
      <c r="SV213" s="30"/>
      <c r="SW213" s="30"/>
      <c r="SX213" s="30"/>
      <c r="SY213" s="30"/>
      <c r="SZ213" s="30"/>
      <c r="TA213" s="30"/>
      <c r="TB213" s="30"/>
      <c r="TC213" s="30"/>
      <c r="TD213" s="30"/>
      <c r="TE213" s="30"/>
      <c r="TF213" s="30"/>
      <c r="TG213" s="30"/>
      <c r="TH213" s="30"/>
      <c r="TI213" s="30"/>
      <c r="TJ213" s="30"/>
      <c r="TK213" s="30"/>
      <c r="TL213" s="30"/>
      <c r="TM213" s="30"/>
      <c r="TN213" s="30"/>
      <c r="TO213" s="30"/>
      <c r="TP213" s="30"/>
      <c r="TQ213" s="30"/>
      <c r="TR213" s="30"/>
      <c r="TS213" s="30"/>
      <c r="TT213" s="30"/>
      <c r="TU213" s="30"/>
      <c r="TV213" s="30"/>
      <c r="TW213" s="30"/>
      <c r="TX213" s="30"/>
      <c r="TY213" s="30"/>
      <c r="TZ213" s="30"/>
      <c r="UA213" s="30"/>
      <c r="UB213" s="30"/>
      <c r="UC213" s="30"/>
      <c r="UD213" s="30"/>
      <c r="UE213" s="30"/>
      <c r="UF213" s="30"/>
      <c r="UG213" s="30"/>
      <c r="UH213" s="30"/>
      <c r="UI213" s="30"/>
      <c r="UJ213" s="30"/>
      <c r="UK213" s="30"/>
      <c r="UL213" s="30"/>
      <c r="UM213" s="30"/>
      <c r="UN213" s="30"/>
      <c r="UO213" s="30"/>
      <c r="UP213" s="30"/>
      <c r="UQ213" s="30"/>
      <c r="UR213" s="30"/>
      <c r="US213" s="30"/>
      <c r="UT213" s="30"/>
      <c r="UU213" s="30"/>
      <c r="UV213" s="30"/>
      <c r="UW213" s="30"/>
      <c r="UX213" s="30"/>
      <c r="UY213" s="30"/>
      <c r="UZ213" s="30"/>
      <c r="VA213" s="30"/>
      <c r="VB213" s="30"/>
      <c r="VC213" s="30"/>
      <c r="VD213" s="30"/>
      <c r="VE213" s="30"/>
      <c r="VF213" s="30"/>
      <c r="VG213" s="30"/>
      <c r="VH213" s="30"/>
      <c r="VI213" s="30"/>
      <c r="VJ213" s="30"/>
      <c r="VK213" s="30"/>
      <c r="VL213" s="30"/>
      <c r="VM213" s="30"/>
      <c r="VN213" s="30"/>
      <c r="VO213" s="30"/>
      <c r="VP213" s="30"/>
      <c r="VQ213" s="30"/>
      <c r="VR213" s="30"/>
      <c r="VS213" s="30"/>
      <c r="VT213" s="30"/>
      <c r="VU213" s="30"/>
      <c r="VV213" s="30"/>
      <c r="VW213" s="30"/>
      <c r="VX213" s="30"/>
      <c r="VY213" s="30"/>
      <c r="VZ213" s="30"/>
      <c r="WA213" s="30"/>
      <c r="WB213" s="30"/>
      <c r="WC213" s="30"/>
      <c r="WD213" s="30"/>
      <c r="WE213" s="30"/>
      <c r="WF213" s="30"/>
      <c r="WG213" s="30"/>
      <c r="WH213" s="30"/>
      <c r="WI213" s="30"/>
      <c r="WJ213" s="30"/>
      <c r="WK213" s="30"/>
      <c r="WL213" s="30"/>
      <c r="WM213" s="30"/>
      <c r="WN213" s="30"/>
      <c r="WO213" s="30"/>
      <c r="WP213" s="30"/>
      <c r="WQ213" s="30"/>
      <c r="WR213" s="30"/>
      <c r="WS213" s="30"/>
      <c r="WT213" s="30"/>
      <c r="WU213" s="30"/>
      <c r="WV213" s="30"/>
      <c r="WW213" s="30"/>
      <c r="WX213" s="30"/>
      <c r="WY213" s="30"/>
      <c r="WZ213" s="30"/>
      <c r="XA213" s="30"/>
      <c r="XB213" s="30"/>
      <c r="XC213" s="30"/>
      <c r="XD213" s="30"/>
      <c r="XE213" s="30"/>
      <c r="XF213" s="30"/>
      <c r="XG213" s="30"/>
      <c r="XH213" s="30"/>
      <c r="XI213" s="30"/>
      <c r="XJ213" s="30"/>
      <c r="XK213" s="30"/>
      <c r="XL213" s="30"/>
      <c r="XM213" s="30"/>
      <c r="XN213" s="30"/>
      <c r="XO213" s="30"/>
      <c r="XP213" s="30"/>
      <c r="XQ213" s="30"/>
      <c r="XR213" s="30"/>
      <c r="XS213" s="30"/>
      <c r="XT213" s="30"/>
      <c r="XU213" s="30"/>
      <c r="XV213" s="30"/>
      <c r="XW213" s="30"/>
      <c r="XX213" s="30"/>
      <c r="XY213" s="30"/>
      <c r="XZ213" s="30"/>
      <c r="YA213" s="30"/>
      <c r="YB213" s="30"/>
      <c r="YC213" s="30"/>
      <c r="YD213" s="30"/>
      <c r="YE213" s="30"/>
      <c r="YF213" s="30"/>
      <c r="YG213" s="30"/>
      <c r="YH213" s="30"/>
      <c r="YI213" s="30"/>
      <c r="YJ213" s="30"/>
      <c r="YK213" s="30"/>
      <c r="YL213" s="30"/>
      <c r="YM213" s="30"/>
      <c r="YN213" s="30"/>
      <c r="YO213" s="30"/>
      <c r="YP213" s="30"/>
      <c r="YQ213" s="30"/>
      <c r="YR213" s="30"/>
      <c r="YS213" s="30"/>
      <c r="YT213" s="30"/>
      <c r="YU213" s="30"/>
      <c r="YV213" s="30"/>
      <c r="YW213" s="30"/>
      <c r="YX213" s="30"/>
      <c r="YY213" s="30"/>
      <c r="YZ213" s="30"/>
      <c r="ZA213" s="30"/>
      <c r="ZB213" s="30"/>
      <c r="ZC213" s="30"/>
      <c r="ZD213" s="30"/>
      <c r="ZE213" s="30"/>
    </row>
    <row r="214" spans="1:681" s="28" customFormat="1" x14ac:dyDescent="0.2">
      <c r="A214" s="90" t="s">
        <v>607</v>
      </c>
      <c r="B214" s="90"/>
      <c r="C214" s="90">
        <v>131682</v>
      </c>
      <c r="D214" s="39">
        <v>1</v>
      </c>
      <c r="E214" s="39" t="s">
        <v>411</v>
      </c>
      <c r="F214" s="79"/>
      <c r="G214" s="79"/>
      <c r="H214" s="38" t="s">
        <v>563</v>
      </c>
      <c r="I214" s="38"/>
      <c r="J214" s="98"/>
      <c r="K214" s="1" t="s">
        <v>485</v>
      </c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/>
      <c r="AG214" s="30"/>
      <c r="AH214" s="30"/>
      <c r="AI214" s="30"/>
      <c r="AJ214" s="30"/>
      <c r="AK214" s="30"/>
      <c r="AL214" s="30"/>
      <c r="AM214" s="30"/>
      <c r="AN214" s="30"/>
      <c r="AO214" s="30"/>
      <c r="AP214" s="30"/>
      <c r="AQ214" s="30"/>
      <c r="AR214" s="30"/>
      <c r="AS214" s="30"/>
      <c r="AT214" s="30"/>
      <c r="AU214" s="30"/>
      <c r="AV214" s="30"/>
      <c r="AW214" s="30"/>
      <c r="AX214" s="30"/>
      <c r="AY214" s="30"/>
      <c r="AZ214" s="30"/>
      <c r="BA214" s="30"/>
      <c r="BB214" s="30"/>
      <c r="BC214" s="30"/>
      <c r="BD214" s="30"/>
      <c r="BE214" s="30"/>
      <c r="BF214" s="30"/>
      <c r="BG214" s="30"/>
      <c r="BH214" s="30"/>
      <c r="BI214" s="30"/>
      <c r="BJ214" s="30"/>
      <c r="BK214" s="30"/>
      <c r="BL214" s="30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  <c r="DB214" s="30"/>
      <c r="DC214" s="30"/>
      <c r="DD214" s="30"/>
      <c r="DE214" s="30"/>
      <c r="DF214" s="30"/>
      <c r="DG214" s="30"/>
      <c r="DH214" s="30"/>
      <c r="DI214" s="30"/>
      <c r="DJ214" s="30"/>
      <c r="DK214" s="30"/>
      <c r="DL214" s="30"/>
      <c r="DM214" s="30"/>
      <c r="DN214" s="30"/>
      <c r="DO214" s="30"/>
      <c r="DP214" s="30"/>
      <c r="DQ214" s="30"/>
      <c r="DR214" s="30"/>
      <c r="DS214" s="30"/>
      <c r="DT214" s="30"/>
      <c r="DU214" s="30"/>
      <c r="DV214" s="30"/>
      <c r="DW214" s="30"/>
      <c r="DX214" s="30"/>
      <c r="DY214" s="30"/>
      <c r="DZ214" s="30"/>
      <c r="EA214" s="30"/>
      <c r="EB214" s="30"/>
      <c r="EC214" s="30"/>
      <c r="ED214" s="30"/>
      <c r="EE214" s="30"/>
      <c r="EF214" s="30"/>
      <c r="EG214" s="30"/>
      <c r="EH214" s="30"/>
      <c r="EI214" s="30"/>
      <c r="EJ214" s="30"/>
      <c r="EK214" s="30"/>
      <c r="EL214" s="30"/>
      <c r="EM214" s="30"/>
      <c r="EN214" s="30"/>
      <c r="EO214" s="30"/>
      <c r="EP214" s="30"/>
      <c r="EQ214" s="30"/>
      <c r="ER214" s="30"/>
      <c r="ES214" s="30"/>
      <c r="ET214" s="30"/>
      <c r="EU214" s="30"/>
      <c r="EV214" s="30"/>
      <c r="EW214" s="30"/>
      <c r="EX214" s="30"/>
      <c r="EY214" s="30"/>
      <c r="EZ214" s="30"/>
      <c r="FA214" s="30"/>
      <c r="FB214" s="30"/>
      <c r="FC214" s="30"/>
      <c r="FD214" s="30"/>
      <c r="FE214" s="30"/>
      <c r="FF214" s="30"/>
      <c r="FG214" s="30"/>
      <c r="FH214" s="30"/>
      <c r="FI214" s="30"/>
      <c r="FJ214" s="30"/>
      <c r="FK214" s="30"/>
      <c r="FL214" s="30"/>
      <c r="FM214" s="30"/>
      <c r="FN214" s="30"/>
      <c r="FO214" s="30"/>
      <c r="FP214" s="30"/>
      <c r="FQ214" s="30"/>
      <c r="FR214" s="30"/>
      <c r="FS214" s="30"/>
      <c r="FT214" s="30"/>
      <c r="FU214" s="30"/>
      <c r="FV214" s="30"/>
      <c r="FW214" s="30"/>
      <c r="FX214" s="30"/>
      <c r="FY214" s="30"/>
      <c r="FZ214" s="30"/>
      <c r="GA214" s="30"/>
      <c r="GB214" s="30"/>
      <c r="GC214" s="30"/>
      <c r="GD214" s="30"/>
      <c r="GE214" s="30"/>
      <c r="GF214" s="30"/>
      <c r="GG214" s="30"/>
      <c r="GH214" s="30"/>
      <c r="GI214" s="30"/>
      <c r="GJ214" s="30"/>
      <c r="GK214" s="30"/>
      <c r="GL214" s="30"/>
      <c r="GM214" s="30"/>
      <c r="GN214" s="30"/>
      <c r="GO214" s="30"/>
      <c r="GP214" s="30"/>
      <c r="GQ214" s="30"/>
      <c r="GR214" s="30"/>
      <c r="GS214" s="30"/>
      <c r="GT214" s="30"/>
      <c r="GU214" s="30"/>
      <c r="GV214" s="30"/>
      <c r="GW214" s="30"/>
      <c r="GX214" s="30"/>
      <c r="GY214" s="30"/>
      <c r="GZ214" s="30"/>
      <c r="HA214" s="30"/>
      <c r="HB214" s="30"/>
      <c r="HC214" s="30"/>
      <c r="HD214" s="30"/>
      <c r="HE214" s="30"/>
      <c r="HF214" s="30"/>
      <c r="HG214" s="30"/>
      <c r="HH214" s="30"/>
      <c r="HI214" s="30"/>
      <c r="HJ214" s="30"/>
      <c r="HK214" s="30"/>
      <c r="HL214" s="30"/>
      <c r="HM214" s="30"/>
      <c r="HN214" s="30"/>
      <c r="HO214" s="30"/>
      <c r="HP214" s="30"/>
      <c r="HQ214" s="30"/>
      <c r="HR214" s="30"/>
      <c r="HS214" s="30"/>
      <c r="HT214" s="30"/>
      <c r="HU214" s="30"/>
      <c r="HV214" s="30"/>
      <c r="HW214" s="30"/>
      <c r="HX214" s="30"/>
      <c r="HY214" s="30"/>
      <c r="HZ214" s="30"/>
      <c r="IA214" s="30"/>
      <c r="IB214" s="30"/>
      <c r="IC214" s="30"/>
      <c r="ID214" s="30"/>
      <c r="IE214" s="30"/>
      <c r="IF214" s="30"/>
      <c r="IG214" s="30"/>
      <c r="IH214" s="30"/>
      <c r="II214" s="30"/>
      <c r="IJ214" s="30"/>
      <c r="IK214" s="30"/>
      <c r="IL214" s="30"/>
      <c r="IM214" s="30"/>
      <c r="IN214" s="30"/>
      <c r="IO214" s="30"/>
      <c r="IP214" s="30"/>
      <c r="IQ214" s="30"/>
      <c r="IR214" s="30"/>
      <c r="IS214" s="30"/>
      <c r="IT214" s="30"/>
      <c r="IU214" s="30"/>
      <c r="IV214" s="30"/>
      <c r="IW214" s="30"/>
      <c r="IX214" s="30"/>
      <c r="IY214" s="30"/>
      <c r="IZ214" s="30"/>
      <c r="JA214" s="30"/>
      <c r="JB214" s="30"/>
      <c r="JC214" s="30"/>
      <c r="JD214" s="30"/>
      <c r="JE214" s="30"/>
      <c r="JF214" s="30"/>
      <c r="JG214" s="30"/>
      <c r="JH214" s="30"/>
      <c r="JI214" s="30"/>
      <c r="JJ214" s="30"/>
      <c r="JK214" s="30"/>
      <c r="JL214" s="30"/>
      <c r="JM214" s="30"/>
      <c r="JN214" s="30"/>
      <c r="JO214" s="30"/>
      <c r="JP214" s="30"/>
      <c r="JQ214" s="30"/>
      <c r="JR214" s="30"/>
      <c r="JS214" s="30"/>
      <c r="JT214" s="30"/>
      <c r="JU214" s="30"/>
      <c r="JV214" s="30"/>
      <c r="JW214" s="30"/>
      <c r="JX214" s="30"/>
      <c r="JY214" s="30"/>
      <c r="JZ214" s="30"/>
      <c r="KA214" s="30"/>
      <c r="KB214" s="30"/>
      <c r="KC214" s="30"/>
      <c r="KD214" s="30"/>
      <c r="KE214" s="30"/>
      <c r="KF214" s="30"/>
      <c r="KG214" s="30"/>
      <c r="KH214" s="30"/>
      <c r="KI214" s="30"/>
      <c r="KJ214" s="30"/>
      <c r="KK214" s="30"/>
      <c r="KL214" s="30"/>
      <c r="KM214" s="30"/>
      <c r="KN214" s="30"/>
      <c r="KO214" s="30"/>
      <c r="KP214" s="30"/>
      <c r="KQ214" s="30"/>
      <c r="KR214" s="30"/>
      <c r="KS214" s="30"/>
      <c r="KT214" s="30"/>
      <c r="KU214" s="30"/>
      <c r="KV214" s="30"/>
      <c r="KW214" s="30"/>
      <c r="KX214" s="30"/>
      <c r="KY214" s="30"/>
      <c r="KZ214" s="30"/>
      <c r="LA214" s="30"/>
      <c r="LB214" s="30"/>
      <c r="LC214" s="30"/>
      <c r="LD214" s="30"/>
      <c r="LE214" s="30"/>
      <c r="LF214" s="30"/>
      <c r="LG214" s="30"/>
      <c r="LH214" s="30"/>
      <c r="LI214" s="30"/>
      <c r="LJ214" s="30"/>
      <c r="LK214" s="30"/>
      <c r="LL214" s="30"/>
      <c r="LM214" s="30"/>
      <c r="LN214" s="30"/>
      <c r="LO214" s="30"/>
      <c r="LP214" s="30"/>
      <c r="LQ214" s="30"/>
      <c r="LR214" s="30"/>
      <c r="LS214" s="30"/>
      <c r="LT214" s="30"/>
      <c r="LU214" s="30"/>
      <c r="LV214" s="30"/>
      <c r="LW214" s="30"/>
      <c r="LX214" s="30"/>
      <c r="LY214" s="30"/>
      <c r="LZ214" s="30"/>
      <c r="MA214" s="30"/>
      <c r="MB214" s="30"/>
      <c r="MC214" s="30"/>
      <c r="MD214" s="30"/>
      <c r="ME214" s="30"/>
      <c r="MF214" s="30"/>
      <c r="MG214" s="30"/>
      <c r="MH214" s="30"/>
      <c r="MI214" s="30"/>
      <c r="MJ214" s="30"/>
      <c r="MK214" s="30"/>
      <c r="ML214" s="30"/>
      <c r="MM214" s="30"/>
      <c r="MN214" s="30"/>
      <c r="MO214" s="30"/>
      <c r="MP214" s="30"/>
      <c r="MQ214" s="30"/>
      <c r="MR214" s="30"/>
      <c r="MS214" s="30"/>
      <c r="MT214" s="30"/>
      <c r="MU214" s="30"/>
      <c r="MV214" s="30"/>
      <c r="MW214" s="30"/>
      <c r="MX214" s="30"/>
      <c r="MY214" s="30"/>
      <c r="MZ214" s="30"/>
      <c r="NA214" s="30"/>
      <c r="NB214" s="30"/>
      <c r="NC214" s="30"/>
      <c r="ND214" s="30"/>
      <c r="NE214" s="30"/>
      <c r="NF214" s="30"/>
      <c r="NG214" s="30"/>
      <c r="NH214" s="30"/>
      <c r="NI214" s="30"/>
      <c r="NJ214" s="30"/>
      <c r="NK214" s="30"/>
      <c r="NL214" s="30"/>
      <c r="NM214" s="30"/>
      <c r="NN214" s="30"/>
      <c r="NO214" s="30"/>
      <c r="NP214" s="30"/>
      <c r="NQ214" s="30"/>
      <c r="NR214" s="30"/>
      <c r="NS214" s="30"/>
      <c r="NT214" s="30"/>
      <c r="NU214" s="30"/>
      <c r="NV214" s="30"/>
      <c r="NW214" s="30"/>
      <c r="NX214" s="30"/>
      <c r="NY214" s="30"/>
      <c r="NZ214" s="30"/>
      <c r="OA214" s="30"/>
      <c r="OB214" s="30"/>
      <c r="OC214" s="30"/>
      <c r="OD214" s="30"/>
      <c r="OE214" s="30"/>
      <c r="OF214" s="30"/>
      <c r="OG214" s="30"/>
      <c r="OH214" s="30"/>
      <c r="OI214" s="30"/>
      <c r="OJ214" s="30"/>
      <c r="OK214" s="30"/>
      <c r="OL214" s="30"/>
      <c r="OM214" s="30"/>
      <c r="ON214" s="30"/>
      <c r="OO214" s="30"/>
      <c r="OP214" s="30"/>
      <c r="OQ214" s="30"/>
      <c r="OR214" s="30"/>
      <c r="OS214" s="30"/>
      <c r="OT214" s="30"/>
      <c r="OU214" s="30"/>
      <c r="OV214" s="30"/>
      <c r="OW214" s="30"/>
      <c r="OX214" s="30"/>
      <c r="OY214" s="30"/>
      <c r="OZ214" s="30"/>
      <c r="PA214" s="30"/>
      <c r="PB214" s="30"/>
      <c r="PC214" s="30"/>
      <c r="PD214" s="30"/>
      <c r="PE214" s="30"/>
      <c r="PF214" s="30"/>
      <c r="PG214" s="30"/>
      <c r="PH214" s="30"/>
      <c r="PI214" s="30"/>
      <c r="PJ214" s="30"/>
      <c r="PK214" s="30"/>
      <c r="PL214" s="30"/>
      <c r="PM214" s="30"/>
      <c r="PN214" s="30"/>
      <c r="PO214" s="30"/>
      <c r="PP214" s="30"/>
      <c r="PQ214" s="30"/>
      <c r="PR214" s="30"/>
      <c r="PS214" s="30"/>
      <c r="PT214" s="30"/>
      <c r="PU214" s="30"/>
      <c r="PV214" s="30"/>
      <c r="PW214" s="30"/>
      <c r="PX214" s="30"/>
      <c r="PY214" s="30"/>
      <c r="PZ214" s="30"/>
      <c r="QA214" s="30"/>
      <c r="QB214" s="30"/>
      <c r="QC214" s="30"/>
      <c r="QD214" s="30"/>
      <c r="QE214" s="30"/>
      <c r="QF214" s="30"/>
      <c r="QG214" s="30"/>
      <c r="QH214" s="30"/>
      <c r="QI214" s="30"/>
      <c r="QJ214" s="30"/>
      <c r="QK214" s="30"/>
      <c r="QL214" s="30"/>
      <c r="QM214" s="30"/>
      <c r="QN214" s="30"/>
      <c r="QO214" s="30"/>
      <c r="QP214" s="30"/>
      <c r="QQ214" s="30"/>
      <c r="QR214" s="30"/>
      <c r="QS214" s="30"/>
      <c r="QT214" s="30"/>
      <c r="QU214" s="30"/>
      <c r="QV214" s="30"/>
      <c r="QW214" s="30"/>
      <c r="QX214" s="30"/>
      <c r="QY214" s="30"/>
      <c r="QZ214" s="30"/>
      <c r="RA214" s="30"/>
      <c r="RB214" s="30"/>
      <c r="RC214" s="30"/>
      <c r="RD214" s="30"/>
      <c r="RE214" s="30"/>
      <c r="RF214" s="30"/>
      <c r="RG214" s="30"/>
      <c r="RH214" s="30"/>
      <c r="RI214" s="30"/>
      <c r="RJ214" s="30"/>
      <c r="RK214" s="30"/>
      <c r="RL214" s="30"/>
      <c r="RM214" s="30"/>
      <c r="RN214" s="30"/>
      <c r="RO214" s="30"/>
      <c r="RP214" s="30"/>
      <c r="RQ214" s="30"/>
      <c r="RR214" s="30"/>
      <c r="RS214" s="30"/>
      <c r="RT214" s="30"/>
      <c r="RU214" s="30"/>
      <c r="RV214" s="30"/>
      <c r="RW214" s="30"/>
      <c r="RX214" s="30"/>
      <c r="RY214" s="30"/>
      <c r="RZ214" s="30"/>
      <c r="SA214" s="30"/>
      <c r="SB214" s="30"/>
      <c r="SC214" s="30"/>
      <c r="SD214" s="30"/>
      <c r="SE214" s="30"/>
      <c r="SF214" s="30"/>
      <c r="SG214" s="30"/>
      <c r="SH214" s="30"/>
      <c r="SI214" s="30"/>
      <c r="SJ214" s="30"/>
      <c r="SK214" s="30"/>
      <c r="SL214" s="30"/>
      <c r="SM214" s="30"/>
      <c r="SN214" s="30"/>
      <c r="SO214" s="30"/>
      <c r="SP214" s="30"/>
      <c r="SQ214" s="30"/>
      <c r="SR214" s="30"/>
      <c r="SS214" s="30"/>
      <c r="ST214" s="30"/>
      <c r="SU214" s="30"/>
      <c r="SV214" s="30"/>
      <c r="SW214" s="30"/>
      <c r="SX214" s="30"/>
      <c r="SY214" s="30"/>
      <c r="SZ214" s="30"/>
      <c r="TA214" s="30"/>
      <c r="TB214" s="30"/>
      <c r="TC214" s="30"/>
      <c r="TD214" s="30"/>
      <c r="TE214" s="30"/>
      <c r="TF214" s="30"/>
      <c r="TG214" s="30"/>
      <c r="TH214" s="30"/>
      <c r="TI214" s="30"/>
      <c r="TJ214" s="30"/>
      <c r="TK214" s="30"/>
      <c r="TL214" s="30"/>
      <c r="TM214" s="30"/>
      <c r="TN214" s="30"/>
      <c r="TO214" s="30"/>
      <c r="TP214" s="30"/>
      <c r="TQ214" s="30"/>
      <c r="TR214" s="30"/>
      <c r="TS214" s="30"/>
      <c r="TT214" s="30"/>
      <c r="TU214" s="30"/>
      <c r="TV214" s="30"/>
      <c r="TW214" s="30"/>
      <c r="TX214" s="30"/>
      <c r="TY214" s="30"/>
      <c r="TZ214" s="30"/>
      <c r="UA214" s="30"/>
      <c r="UB214" s="30"/>
      <c r="UC214" s="30"/>
      <c r="UD214" s="30"/>
      <c r="UE214" s="30"/>
      <c r="UF214" s="30"/>
      <c r="UG214" s="30"/>
      <c r="UH214" s="30"/>
      <c r="UI214" s="30"/>
      <c r="UJ214" s="30"/>
      <c r="UK214" s="30"/>
      <c r="UL214" s="30"/>
      <c r="UM214" s="30"/>
      <c r="UN214" s="30"/>
      <c r="UO214" s="30"/>
      <c r="UP214" s="30"/>
      <c r="UQ214" s="30"/>
      <c r="UR214" s="30"/>
      <c r="US214" s="30"/>
      <c r="UT214" s="30"/>
      <c r="UU214" s="30"/>
      <c r="UV214" s="30"/>
      <c r="UW214" s="30"/>
      <c r="UX214" s="30"/>
      <c r="UY214" s="30"/>
      <c r="UZ214" s="30"/>
      <c r="VA214" s="30"/>
      <c r="VB214" s="30"/>
      <c r="VC214" s="30"/>
      <c r="VD214" s="30"/>
      <c r="VE214" s="30"/>
      <c r="VF214" s="30"/>
      <c r="VG214" s="30"/>
      <c r="VH214" s="30"/>
      <c r="VI214" s="30"/>
      <c r="VJ214" s="30"/>
      <c r="VK214" s="30"/>
      <c r="VL214" s="30"/>
      <c r="VM214" s="30"/>
      <c r="VN214" s="30"/>
      <c r="VO214" s="30"/>
      <c r="VP214" s="30"/>
      <c r="VQ214" s="30"/>
      <c r="VR214" s="30"/>
      <c r="VS214" s="30"/>
      <c r="VT214" s="30"/>
      <c r="VU214" s="30"/>
      <c r="VV214" s="30"/>
      <c r="VW214" s="30"/>
      <c r="VX214" s="30"/>
      <c r="VY214" s="30"/>
      <c r="VZ214" s="30"/>
      <c r="WA214" s="30"/>
      <c r="WB214" s="30"/>
      <c r="WC214" s="30"/>
      <c r="WD214" s="30"/>
      <c r="WE214" s="30"/>
      <c r="WF214" s="30"/>
      <c r="WG214" s="30"/>
      <c r="WH214" s="30"/>
      <c r="WI214" s="30"/>
      <c r="WJ214" s="30"/>
      <c r="WK214" s="30"/>
      <c r="WL214" s="30"/>
      <c r="WM214" s="30"/>
      <c r="WN214" s="30"/>
      <c r="WO214" s="30"/>
      <c r="WP214" s="30"/>
      <c r="WQ214" s="30"/>
      <c r="WR214" s="30"/>
      <c r="WS214" s="30"/>
      <c r="WT214" s="30"/>
      <c r="WU214" s="30"/>
      <c r="WV214" s="30"/>
      <c r="WW214" s="30"/>
      <c r="WX214" s="30"/>
      <c r="WY214" s="30"/>
      <c r="WZ214" s="30"/>
      <c r="XA214" s="30"/>
      <c r="XB214" s="30"/>
      <c r="XC214" s="30"/>
      <c r="XD214" s="30"/>
      <c r="XE214" s="30"/>
      <c r="XF214" s="30"/>
      <c r="XG214" s="30"/>
      <c r="XH214" s="30"/>
      <c r="XI214" s="30"/>
      <c r="XJ214" s="30"/>
      <c r="XK214" s="30"/>
      <c r="XL214" s="30"/>
      <c r="XM214" s="30"/>
      <c r="XN214" s="30"/>
      <c r="XO214" s="30"/>
      <c r="XP214" s="30"/>
      <c r="XQ214" s="30"/>
      <c r="XR214" s="30"/>
      <c r="XS214" s="30"/>
      <c r="XT214" s="30"/>
      <c r="XU214" s="30"/>
      <c r="XV214" s="30"/>
      <c r="XW214" s="30"/>
      <c r="XX214" s="30"/>
      <c r="XY214" s="30"/>
      <c r="XZ214" s="30"/>
      <c r="YA214" s="30"/>
      <c r="YB214" s="30"/>
      <c r="YC214" s="30"/>
      <c r="YD214" s="30"/>
      <c r="YE214" s="30"/>
      <c r="YF214" s="30"/>
      <c r="YG214" s="30"/>
      <c r="YH214" s="30"/>
      <c r="YI214" s="30"/>
      <c r="YJ214" s="30"/>
      <c r="YK214" s="30"/>
      <c r="YL214" s="30"/>
      <c r="YM214" s="30"/>
      <c r="YN214" s="30"/>
      <c r="YO214" s="30"/>
      <c r="YP214" s="30"/>
      <c r="YQ214" s="30"/>
      <c r="YR214" s="30"/>
      <c r="YS214" s="30"/>
      <c r="YT214" s="30"/>
      <c r="YU214" s="30"/>
      <c r="YV214" s="30"/>
      <c r="YW214" s="30"/>
      <c r="YX214" s="30"/>
      <c r="YY214" s="30"/>
      <c r="YZ214" s="30"/>
      <c r="ZA214" s="30"/>
      <c r="ZB214" s="30"/>
      <c r="ZC214" s="30"/>
      <c r="ZD214" s="30"/>
      <c r="ZE214" s="30"/>
    </row>
    <row r="215" spans="1:681" s="28" customFormat="1" x14ac:dyDescent="0.2">
      <c r="A215" s="90" t="s">
        <v>787</v>
      </c>
      <c r="B215" s="90"/>
      <c r="C215" s="90">
        <v>149077</v>
      </c>
      <c r="D215" s="39">
        <v>1</v>
      </c>
      <c r="E215" s="39" t="s">
        <v>411</v>
      </c>
      <c r="F215" s="79"/>
      <c r="G215" s="79">
        <f t="shared" si="25"/>
        <v>365</v>
      </c>
      <c r="H215" s="38" t="s">
        <v>565</v>
      </c>
      <c r="I215" s="38" t="s">
        <v>230</v>
      </c>
      <c r="J215" s="98"/>
      <c r="K215" s="1" t="s">
        <v>485</v>
      </c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/>
      <c r="AG215" s="30"/>
      <c r="AH215" s="30"/>
      <c r="AI215" s="30"/>
      <c r="AJ215" s="30"/>
      <c r="AK215" s="30"/>
      <c r="AL215" s="30"/>
      <c r="AM215" s="30"/>
      <c r="AN215" s="30"/>
      <c r="AO215" s="30"/>
      <c r="AP215" s="30"/>
      <c r="AQ215" s="30"/>
      <c r="AR215" s="30"/>
      <c r="AS215" s="30"/>
      <c r="AT215" s="30"/>
      <c r="AU215" s="30"/>
      <c r="AV215" s="30"/>
      <c r="AW215" s="30"/>
      <c r="AX215" s="30"/>
      <c r="AY215" s="30"/>
      <c r="AZ215" s="30"/>
      <c r="BA215" s="30"/>
      <c r="BB215" s="30"/>
      <c r="BC215" s="30"/>
      <c r="BD215" s="30"/>
      <c r="BE215" s="30"/>
      <c r="BF215" s="30"/>
      <c r="BG215" s="30"/>
      <c r="BH215" s="30"/>
      <c r="BI215" s="30"/>
      <c r="BJ215" s="30"/>
      <c r="BK215" s="30"/>
      <c r="BL215" s="30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  <c r="DB215" s="30"/>
      <c r="DC215" s="30"/>
      <c r="DD215" s="30"/>
      <c r="DE215" s="30"/>
      <c r="DF215" s="30"/>
      <c r="DG215" s="30"/>
      <c r="DH215" s="30"/>
      <c r="DI215" s="30"/>
      <c r="DJ215" s="30"/>
      <c r="DK215" s="30"/>
      <c r="DL215" s="30"/>
      <c r="DM215" s="30"/>
      <c r="DN215" s="30"/>
      <c r="DO215" s="30"/>
      <c r="DP215" s="30"/>
      <c r="DQ215" s="30"/>
      <c r="DR215" s="30"/>
      <c r="DS215" s="30"/>
      <c r="DT215" s="30"/>
      <c r="DU215" s="30"/>
      <c r="DV215" s="30"/>
      <c r="DW215" s="30"/>
      <c r="DX215" s="30"/>
      <c r="DY215" s="30"/>
      <c r="DZ215" s="30"/>
      <c r="EA215" s="30"/>
      <c r="EB215" s="30"/>
      <c r="EC215" s="30"/>
      <c r="ED215" s="30"/>
      <c r="EE215" s="30"/>
      <c r="EF215" s="30"/>
      <c r="EG215" s="30"/>
      <c r="EH215" s="30"/>
      <c r="EI215" s="30"/>
      <c r="EJ215" s="30"/>
      <c r="EK215" s="30"/>
      <c r="EL215" s="30"/>
      <c r="EM215" s="30"/>
      <c r="EN215" s="30"/>
      <c r="EO215" s="30"/>
      <c r="EP215" s="30"/>
      <c r="EQ215" s="30"/>
      <c r="ER215" s="30"/>
      <c r="ES215" s="30"/>
      <c r="ET215" s="30"/>
      <c r="EU215" s="30"/>
      <c r="EV215" s="30"/>
      <c r="EW215" s="30"/>
      <c r="EX215" s="30"/>
      <c r="EY215" s="30"/>
      <c r="EZ215" s="30"/>
      <c r="FA215" s="30"/>
      <c r="FB215" s="30"/>
      <c r="FC215" s="30"/>
      <c r="FD215" s="30"/>
      <c r="FE215" s="30"/>
      <c r="FF215" s="30"/>
      <c r="FG215" s="30"/>
      <c r="FH215" s="30"/>
      <c r="FI215" s="30"/>
      <c r="FJ215" s="30"/>
      <c r="FK215" s="30"/>
      <c r="FL215" s="30"/>
      <c r="FM215" s="30"/>
      <c r="FN215" s="30"/>
      <c r="FO215" s="30"/>
      <c r="FP215" s="30"/>
      <c r="FQ215" s="30"/>
      <c r="FR215" s="30"/>
      <c r="FS215" s="30"/>
      <c r="FT215" s="30"/>
      <c r="FU215" s="30"/>
      <c r="FV215" s="30"/>
      <c r="FW215" s="30"/>
      <c r="FX215" s="30"/>
      <c r="FY215" s="30"/>
      <c r="FZ215" s="30"/>
      <c r="GA215" s="30"/>
      <c r="GB215" s="30"/>
      <c r="GC215" s="30"/>
      <c r="GD215" s="30"/>
      <c r="GE215" s="30"/>
      <c r="GF215" s="30"/>
      <c r="GG215" s="30"/>
      <c r="GH215" s="30"/>
      <c r="GI215" s="30"/>
      <c r="GJ215" s="30"/>
      <c r="GK215" s="30"/>
      <c r="GL215" s="30"/>
      <c r="GM215" s="30"/>
      <c r="GN215" s="30"/>
      <c r="GO215" s="30"/>
      <c r="GP215" s="30"/>
      <c r="GQ215" s="30"/>
      <c r="GR215" s="30"/>
      <c r="GS215" s="30"/>
      <c r="GT215" s="30"/>
      <c r="GU215" s="30"/>
      <c r="GV215" s="30"/>
      <c r="GW215" s="30"/>
      <c r="GX215" s="30"/>
      <c r="GY215" s="30"/>
      <c r="GZ215" s="30"/>
      <c r="HA215" s="30"/>
      <c r="HB215" s="30"/>
      <c r="HC215" s="30"/>
      <c r="HD215" s="30"/>
      <c r="HE215" s="30"/>
      <c r="HF215" s="30"/>
      <c r="HG215" s="30"/>
      <c r="HH215" s="30"/>
      <c r="HI215" s="30"/>
      <c r="HJ215" s="30"/>
      <c r="HK215" s="30"/>
      <c r="HL215" s="30"/>
      <c r="HM215" s="30"/>
      <c r="HN215" s="30"/>
      <c r="HO215" s="30"/>
      <c r="HP215" s="30"/>
      <c r="HQ215" s="30"/>
      <c r="HR215" s="30"/>
      <c r="HS215" s="30"/>
      <c r="HT215" s="30"/>
      <c r="HU215" s="30"/>
      <c r="HV215" s="30"/>
      <c r="HW215" s="30"/>
      <c r="HX215" s="30"/>
      <c r="HY215" s="30"/>
      <c r="HZ215" s="30"/>
      <c r="IA215" s="30"/>
      <c r="IB215" s="30"/>
      <c r="IC215" s="30"/>
      <c r="ID215" s="30"/>
      <c r="IE215" s="30"/>
      <c r="IF215" s="30"/>
      <c r="IG215" s="30"/>
      <c r="IH215" s="30"/>
      <c r="II215" s="30"/>
      <c r="IJ215" s="30"/>
      <c r="IK215" s="30"/>
      <c r="IL215" s="30"/>
      <c r="IM215" s="30"/>
      <c r="IN215" s="30"/>
      <c r="IO215" s="30"/>
      <c r="IP215" s="30"/>
      <c r="IQ215" s="30"/>
      <c r="IR215" s="30"/>
      <c r="IS215" s="30"/>
      <c r="IT215" s="30"/>
      <c r="IU215" s="30"/>
      <c r="IV215" s="30"/>
      <c r="IW215" s="30"/>
      <c r="IX215" s="30"/>
      <c r="IY215" s="30"/>
      <c r="IZ215" s="30"/>
      <c r="JA215" s="30"/>
      <c r="JB215" s="30"/>
      <c r="JC215" s="30"/>
      <c r="JD215" s="30"/>
      <c r="JE215" s="30"/>
      <c r="JF215" s="30"/>
      <c r="JG215" s="30"/>
      <c r="JH215" s="30"/>
      <c r="JI215" s="30"/>
      <c r="JJ215" s="30"/>
      <c r="JK215" s="30"/>
      <c r="JL215" s="30"/>
      <c r="JM215" s="30"/>
      <c r="JN215" s="30"/>
      <c r="JO215" s="30"/>
      <c r="JP215" s="30"/>
      <c r="JQ215" s="30"/>
      <c r="JR215" s="30"/>
      <c r="JS215" s="30"/>
      <c r="JT215" s="30"/>
      <c r="JU215" s="30"/>
      <c r="JV215" s="30"/>
      <c r="JW215" s="30"/>
      <c r="JX215" s="30"/>
      <c r="JY215" s="30"/>
      <c r="JZ215" s="30"/>
      <c r="KA215" s="30"/>
      <c r="KB215" s="30"/>
      <c r="KC215" s="30"/>
      <c r="KD215" s="30"/>
      <c r="KE215" s="30"/>
      <c r="KF215" s="30"/>
      <c r="KG215" s="30"/>
      <c r="KH215" s="30"/>
      <c r="KI215" s="30"/>
      <c r="KJ215" s="30"/>
      <c r="KK215" s="30"/>
      <c r="KL215" s="30"/>
      <c r="KM215" s="30"/>
      <c r="KN215" s="30"/>
      <c r="KO215" s="30"/>
      <c r="KP215" s="30"/>
      <c r="KQ215" s="30"/>
      <c r="KR215" s="30"/>
      <c r="KS215" s="30"/>
      <c r="KT215" s="30"/>
      <c r="KU215" s="30"/>
      <c r="KV215" s="30"/>
      <c r="KW215" s="30"/>
      <c r="KX215" s="30"/>
      <c r="KY215" s="30"/>
      <c r="KZ215" s="30"/>
      <c r="LA215" s="30"/>
      <c r="LB215" s="30"/>
      <c r="LC215" s="30"/>
      <c r="LD215" s="30"/>
      <c r="LE215" s="30"/>
      <c r="LF215" s="30"/>
      <c r="LG215" s="30"/>
      <c r="LH215" s="30"/>
      <c r="LI215" s="30"/>
      <c r="LJ215" s="30"/>
      <c r="LK215" s="30"/>
      <c r="LL215" s="30"/>
      <c r="LM215" s="30"/>
      <c r="LN215" s="30"/>
      <c r="LO215" s="30"/>
      <c r="LP215" s="30"/>
      <c r="LQ215" s="30"/>
      <c r="LR215" s="30"/>
      <c r="LS215" s="30"/>
      <c r="LT215" s="30"/>
      <c r="LU215" s="30"/>
      <c r="LV215" s="30"/>
      <c r="LW215" s="30"/>
      <c r="LX215" s="30"/>
      <c r="LY215" s="30"/>
      <c r="LZ215" s="30"/>
      <c r="MA215" s="30"/>
      <c r="MB215" s="30"/>
      <c r="MC215" s="30"/>
      <c r="MD215" s="30"/>
      <c r="ME215" s="30"/>
      <c r="MF215" s="30"/>
      <c r="MG215" s="30"/>
      <c r="MH215" s="30"/>
      <c r="MI215" s="30"/>
      <c r="MJ215" s="30"/>
      <c r="MK215" s="30"/>
      <c r="ML215" s="30"/>
      <c r="MM215" s="30"/>
      <c r="MN215" s="30"/>
      <c r="MO215" s="30"/>
      <c r="MP215" s="30"/>
      <c r="MQ215" s="30"/>
      <c r="MR215" s="30"/>
      <c r="MS215" s="30"/>
      <c r="MT215" s="30"/>
      <c r="MU215" s="30"/>
      <c r="MV215" s="30"/>
      <c r="MW215" s="30"/>
      <c r="MX215" s="30"/>
      <c r="MY215" s="30"/>
      <c r="MZ215" s="30"/>
      <c r="NA215" s="30"/>
      <c r="NB215" s="30"/>
      <c r="NC215" s="30"/>
      <c r="ND215" s="30"/>
      <c r="NE215" s="30"/>
      <c r="NF215" s="30"/>
      <c r="NG215" s="30"/>
      <c r="NH215" s="30"/>
      <c r="NI215" s="30"/>
      <c r="NJ215" s="30"/>
      <c r="NK215" s="30"/>
      <c r="NL215" s="30"/>
      <c r="NM215" s="30"/>
      <c r="NN215" s="30"/>
      <c r="NO215" s="30"/>
      <c r="NP215" s="30"/>
      <c r="NQ215" s="30"/>
      <c r="NR215" s="30"/>
      <c r="NS215" s="30"/>
      <c r="NT215" s="30"/>
      <c r="NU215" s="30"/>
      <c r="NV215" s="30"/>
      <c r="NW215" s="30"/>
      <c r="NX215" s="30"/>
      <c r="NY215" s="30"/>
      <c r="NZ215" s="30"/>
      <c r="OA215" s="30"/>
      <c r="OB215" s="30"/>
      <c r="OC215" s="30"/>
      <c r="OD215" s="30"/>
      <c r="OE215" s="30"/>
      <c r="OF215" s="30"/>
      <c r="OG215" s="30"/>
      <c r="OH215" s="30"/>
      <c r="OI215" s="30"/>
      <c r="OJ215" s="30"/>
      <c r="OK215" s="30"/>
      <c r="OL215" s="30"/>
      <c r="OM215" s="30"/>
      <c r="ON215" s="30"/>
      <c r="OO215" s="30"/>
      <c r="OP215" s="30"/>
      <c r="OQ215" s="30"/>
      <c r="OR215" s="30"/>
      <c r="OS215" s="30"/>
      <c r="OT215" s="30"/>
      <c r="OU215" s="30"/>
      <c r="OV215" s="30"/>
      <c r="OW215" s="30"/>
      <c r="OX215" s="30"/>
      <c r="OY215" s="30"/>
      <c r="OZ215" s="30"/>
      <c r="PA215" s="30"/>
      <c r="PB215" s="30"/>
      <c r="PC215" s="30"/>
      <c r="PD215" s="30"/>
      <c r="PE215" s="30"/>
      <c r="PF215" s="30"/>
      <c r="PG215" s="30"/>
      <c r="PH215" s="30"/>
      <c r="PI215" s="30"/>
      <c r="PJ215" s="30"/>
      <c r="PK215" s="30"/>
      <c r="PL215" s="30"/>
      <c r="PM215" s="30"/>
      <c r="PN215" s="30"/>
      <c r="PO215" s="30"/>
      <c r="PP215" s="30"/>
      <c r="PQ215" s="30"/>
      <c r="PR215" s="30"/>
      <c r="PS215" s="30"/>
      <c r="PT215" s="30"/>
      <c r="PU215" s="30"/>
      <c r="PV215" s="30"/>
      <c r="PW215" s="30"/>
      <c r="PX215" s="30"/>
      <c r="PY215" s="30"/>
      <c r="PZ215" s="30"/>
      <c r="QA215" s="30"/>
      <c r="QB215" s="30"/>
      <c r="QC215" s="30"/>
      <c r="QD215" s="30"/>
      <c r="QE215" s="30"/>
      <c r="QF215" s="30"/>
      <c r="QG215" s="30"/>
      <c r="QH215" s="30"/>
      <c r="QI215" s="30"/>
      <c r="QJ215" s="30"/>
      <c r="QK215" s="30"/>
      <c r="QL215" s="30"/>
      <c r="QM215" s="30"/>
      <c r="QN215" s="30"/>
      <c r="QO215" s="30"/>
      <c r="QP215" s="30"/>
      <c r="QQ215" s="30"/>
      <c r="QR215" s="30"/>
      <c r="QS215" s="30"/>
      <c r="QT215" s="30"/>
      <c r="QU215" s="30"/>
      <c r="QV215" s="30"/>
      <c r="QW215" s="30"/>
      <c r="QX215" s="30"/>
      <c r="QY215" s="30"/>
      <c r="QZ215" s="30"/>
      <c r="RA215" s="30"/>
      <c r="RB215" s="30"/>
      <c r="RC215" s="30"/>
      <c r="RD215" s="30"/>
      <c r="RE215" s="30"/>
      <c r="RF215" s="30"/>
      <c r="RG215" s="30"/>
      <c r="RH215" s="30"/>
      <c r="RI215" s="30"/>
      <c r="RJ215" s="30"/>
      <c r="RK215" s="30"/>
      <c r="RL215" s="30"/>
      <c r="RM215" s="30"/>
      <c r="RN215" s="30"/>
      <c r="RO215" s="30"/>
      <c r="RP215" s="30"/>
      <c r="RQ215" s="30"/>
      <c r="RR215" s="30"/>
      <c r="RS215" s="30"/>
      <c r="RT215" s="30"/>
      <c r="RU215" s="30"/>
      <c r="RV215" s="30"/>
      <c r="RW215" s="30"/>
      <c r="RX215" s="30"/>
      <c r="RY215" s="30"/>
      <c r="RZ215" s="30"/>
      <c r="SA215" s="30"/>
      <c r="SB215" s="30"/>
      <c r="SC215" s="30"/>
      <c r="SD215" s="30"/>
      <c r="SE215" s="30"/>
      <c r="SF215" s="30"/>
      <c r="SG215" s="30"/>
      <c r="SH215" s="30"/>
      <c r="SI215" s="30"/>
      <c r="SJ215" s="30"/>
      <c r="SK215" s="30"/>
      <c r="SL215" s="30"/>
      <c r="SM215" s="30"/>
      <c r="SN215" s="30"/>
      <c r="SO215" s="30"/>
      <c r="SP215" s="30"/>
      <c r="SQ215" s="30"/>
      <c r="SR215" s="30"/>
      <c r="SS215" s="30"/>
      <c r="ST215" s="30"/>
      <c r="SU215" s="30"/>
      <c r="SV215" s="30"/>
      <c r="SW215" s="30"/>
      <c r="SX215" s="30"/>
      <c r="SY215" s="30"/>
      <c r="SZ215" s="30"/>
      <c r="TA215" s="30"/>
      <c r="TB215" s="30"/>
      <c r="TC215" s="30"/>
      <c r="TD215" s="30"/>
      <c r="TE215" s="30"/>
      <c r="TF215" s="30"/>
      <c r="TG215" s="30"/>
      <c r="TH215" s="30"/>
      <c r="TI215" s="30"/>
      <c r="TJ215" s="30"/>
      <c r="TK215" s="30"/>
      <c r="TL215" s="30"/>
      <c r="TM215" s="30"/>
      <c r="TN215" s="30"/>
      <c r="TO215" s="30"/>
      <c r="TP215" s="30"/>
      <c r="TQ215" s="30"/>
      <c r="TR215" s="30"/>
      <c r="TS215" s="30"/>
      <c r="TT215" s="30"/>
      <c r="TU215" s="30"/>
      <c r="TV215" s="30"/>
      <c r="TW215" s="30"/>
      <c r="TX215" s="30"/>
      <c r="TY215" s="30"/>
      <c r="TZ215" s="30"/>
      <c r="UA215" s="30"/>
      <c r="UB215" s="30"/>
      <c r="UC215" s="30"/>
      <c r="UD215" s="30"/>
      <c r="UE215" s="30"/>
      <c r="UF215" s="30"/>
      <c r="UG215" s="30"/>
      <c r="UH215" s="30"/>
      <c r="UI215" s="30"/>
      <c r="UJ215" s="30"/>
      <c r="UK215" s="30"/>
      <c r="UL215" s="30"/>
      <c r="UM215" s="30"/>
      <c r="UN215" s="30"/>
      <c r="UO215" s="30"/>
      <c r="UP215" s="30"/>
      <c r="UQ215" s="30"/>
      <c r="UR215" s="30"/>
      <c r="US215" s="30"/>
      <c r="UT215" s="30"/>
      <c r="UU215" s="30"/>
      <c r="UV215" s="30"/>
      <c r="UW215" s="30"/>
      <c r="UX215" s="30"/>
      <c r="UY215" s="30"/>
      <c r="UZ215" s="30"/>
      <c r="VA215" s="30"/>
      <c r="VB215" s="30"/>
      <c r="VC215" s="30"/>
      <c r="VD215" s="30"/>
      <c r="VE215" s="30"/>
      <c r="VF215" s="30"/>
      <c r="VG215" s="30"/>
      <c r="VH215" s="30"/>
      <c r="VI215" s="30"/>
      <c r="VJ215" s="30"/>
      <c r="VK215" s="30"/>
      <c r="VL215" s="30"/>
      <c r="VM215" s="30"/>
      <c r="VN215" s="30"/>
      <c r="VO215" s="30"/>
      <c r="VP215" s="30"/>
      <c r="VQ215" s="30"/>
      <c r="VR215" s="30"/>
      <c r="VS215" s="30"/>
      <c r="VT215" s="30"/>
      <c r="VU215" s="30"/>
      <c r="VV215" s="30"/>
      <c r="VW215" s="30"/>
      <c r="VX215" s="30"/>
      <c r="VY215" s="30"/>
      <c r="VZ215" s="30"/>
      <c r="WA215" s="30"/>
      <c r="WB215" s="30"/>
      <c r="WC215" s="30"/>
      <c r="WD215" s="30"/>
      <c r="WE215" s="30"/>
      <c r="WF215" s="30"/>
      <c r="WG215" s="30"/>
      <c r="WH215" s="30"/>
      <c r="WI215" s="30"/>
      <c r="WJ215" s="30"/>
      <c r="WK215" s="30"/>
      <c r="WL215" s="30"/>
      <c r="WM215" s="30"/>
      <c r="WN215" s="30"/>
      <c r="WO215" s="30"/>
      <c r="WP215" s="30"/>
      <c r="WQ215" s="30"/>
      <c r="WR215" s="30"/>
      <c r="WS215" s="30"/>
      <c r="WT215" s="30"/>
      <c r="WU215" s="30"/>
      <c r="WV215" s="30"/>
      <c r="WW215" s="30"/>
      <c r="WX215" s="30"/>
      <c r="WY215" s="30"/>
      <c r="WZ215" s="30"/>
      <c r="XA215" s="30"/>
      <c r="XB215" s="30"/>
      <c r="XC215" s="30"/>
      <c r="XD215" s="30"/>
      <c r="XE215" s="30"/>
      <c r="XF215" s="30"/>
      <c r="XG215" s="30"/>
      <c r="XH215" s="30"/>
      <c r="XI215" s="30"/>
      <c r="XJ215" s="30"/>
      <c r="XK215" s="30"/>
      <c r="XL215" s="30"/>
      <c r="XM215" s="30"/>
      <c r="XN215" s="30"/>
      <c r="XO215" s="30"/>
      <c r="XP215" s="30"/>
      <c r="XQ215" s="30"/>
      <c r="XR215" s="30"/>
      <c r="XS215" s="30"/>
      <c r="XT215" s="30"/>
      <c r="XU215" s="30"/>
      <c r="XV215" s="30"/>
      <c r="XW215" s="30"/>
      <c r="XX215" s="30"/>
      <c r="XY215" s="30"/>
      <c r="XZ215" s="30"/>
      <c r="YA215" s="30"/>
      <c r="YB215" s="30"/>
      <c r="YC215" s="30"/>
      <c r="YD215" s="30"/>
      <c r="YE215" s="30"/>
      <c r="YF215" s="30"/>
      <c r="YG215" s="30"/>
      <c r="YH215" s="30"/>
      <c r="YI215" s="30"/>
      <c r="YJ215" s="30"/>
      <c r="YK215" s="30"/>
      <c r="YL215" s="30"/>
      <c r="YM215" s="30"/>
      <c r="YN215" s="30"/>
      <c r="YO215" s="30"/>
      <c r="YP215" s="30"/>
      <c r="YQ215" s="30"/>
      <c r="YR215" s="30"/>
      <c r="YS215" s="30"/>
      <c r="YT215" s="30"/>
      <c r="YU215" s="30"/>
      <c r="YV215" s="30"/>
      <c r="YW215" s="30"/>
      <c r="YX215" s="30"/>
      <c r="YY215" s="30"/>
      <c r="YZ215" s="30"/>
      <c r="ZA215" s="30"/>
      <c r="ZB215" s="30"/>
      <c r="ZC215" s="30"/>
      <c r="ZD215" s="30"/>
      <c r="ZE215" s="30"/>
    </row>
    <row r="216" spans="1:681" x14ac:dyDescent="0.2">
      <c r="A216" s="90" t="s">
        <v>787</v>
      </c>
      <c r="B216" s="90"/>
      <c r="C216" s="90">
        <v>141575</v>
      </c>
      <c r="D216" s="39">
        <v>1</v>
      </c>
      <c r="E216" s="39" t="s">
        <v>411</v>
      </c>
      <c r="F216" s="79">
        <v>41260</v>
      </c>
      <c r="G216" s="79">
        <f t="shared" si="25"/>
        <v>41625</v>
      </c>
      <c r="H216" s="38" t="s">
        <v>565</v>
      </c>
      <c r="I216" s="38" t="s">
        <v>359</v>
      </c>
      <c r="J216" s="98"/>
      <c r="K216" s="1" t="s">
        <v>485</v>
      </c>
      <c r="P216" s="30"/>
      <c r="Q216" s="30"/>
      <c r="R216" s="30"/>
      <c r="S216" s="30"/>
      <c r="T216" s="30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/>
      <c r="AG216" s="30"/>
      <c r="AH216" s="30"/>
      <c r="AI216" s="30"/>
      <c r="AJ216" s="30"/>
      <c r="AK216" s="30"/>
      <c r="AL216" s="30"/>
      <c r="AM216" s="30"/>
      <c r="AN216" s="30"/>
      <c r="AO216" s="30"/>
      <c r="AP216" s="30"/>
      <c r="AQ216" s="30"/>
      <c r="AR216" s="30"/>
      <c r="AS216" s="30"/>
      <c r="AT216" s="30"/>
      <c r="AU216" s="30"/>
      <c r="AV216" s="30"/>
      <c r="AW216" s="30"/>
      <c r="AX216" s="30"/>
      <c r="AY216" s="30"/>
      <c r="AZ216" s="30"/>
      <c r="BA216" s="30"/>
      <c r="BB216" s="30"/>
      <c r="BC216" s="30"/>
      <c r="BD216" s="30"/>
      <c r="BE216" s="30"/>
      <c r="BF216" s="30"/>
      <c r="BG216" s="30"/>
      <c r="BH216" s="30"/>
      <c r="BI216" s="30"/>
      <c r="BJ216" s="30"/>
      <c r="BK216" s="30"/>
      <c r="BL216" s="30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  <c r="DB216" s="30"/>
      <c r="DC216" s="30"/>
      <c r="DD216" s="30"/>
      <c r="DE216" s="30"/>
      <c r="DF216" s="30"/>
      <c r="DG216" s="30"/>
      <c r="DH216" s="30"/>
      <c r="DI216" s="30"/>
      <c r="DJ216" s="30"/>
      <c r="DK216" s="30"/>
      <c r="DL216" s="30"/>
      <c r="DM216" s="30"/>
      <c r="DN216" s="30"/>
      <c r="DO216" s="30"/>
      <c r="DP216" s="30"/>
      <c r="DQ216" s="30"/>
      <c r="DR216" s="30"/>
      <c r="DS216" s="30"/>
      <c r="DT216" s="30"/>
      <c r="DU216" s="30"/>
      <c r="DV216" s="30"/>
      <c r="DW216" s="30"/>
      <c r="DX216" s="30"/>
      <c r="DY216" s="30"/>
      <c r="DZ216" s="30"/>
      <c r="EA216" s="30"/>
      <c r="EB216" s="30"/>
      <c r="EC216" s="30"/>
      <c r="ED216" s="30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  <c r="FA216" s="30"/>
      <c r="FB216" s="30"/>
      <c r="FC216" s="30"/>
      <c r="FD216" s="30"/>
      <c r="FE216" s="30"/>
      <c r="FF216" s="30"/>
      <c r="FG216" s="30"/>
      <c r="FH216" s="30"/>
      <c r="FI216" s="30"/>
      <c r="FJ216" s="30"/>
      <c r="FK216" s="30"/>
      <c r="FL216" s="30"/>
      <c r="FM216" s="30"/>
      <c r="FN216" s="30"/>
      <c r="FO216" s="30"/>
      <c r="FP216" s="30"/>
      <c r="FQ216" s="30"/>
      <c r="FR216" s="30"/>
      <c r="FS216" s="30"/>
      <c r="FT216" s="30"/>
      <c r="FU216" s="30"/>
      <c r="FV216" s="30"/>
      <c r="FW216" s="30"/>
      <c r="FX216" s="30"/>
      <c r="FY216" s="30"/>
      <c r="FZ216" s="30"/>
      <c r="GA216" s="30"/>
      <c r="GB216" s="30"/>
      <c r="GC216" s="30"/>
      <c r="GD216" s="30"/>
      <c r="GE216" s="30"/>
      <c r="GF216" s="30"/>
      <c r="GG216" s="30"/>
      <c r="GH216" s="30"/>
      <c r="GI216" s="30"/>
      <c r="GJ216" s="30"/>
      <c r="GK216" s="30"/>
      <c r="GL216" s="30"/>
      <c r="GM216" s="30"/>
      <c r="GN216" s="30"/>
      <c r="GO216" s="30"/>
      <c r="GP216" s="30"/>
      <c r="GQ216" s="30"/>
      <c r="GR216" s="30"/>
      <c r="GS216" s="30"/>
      <c r="GT216" s="30"/>
      <c r="GU216" s="30"/>
      <c r="GV216" s="30"/>
      <c r="GW216" s="30"/>
      <c r="GX216" s="30"/>
      <c r="GY216" s="30"/>
      <c r="GZ216" s="30"/>
      <c r="HA216" s="30"/>
      <c r="HB216" s="30"/>
      <c r="HC216" s="30"/>
      <c r="HD216" s="30"/>
      <c r="HE216" s="30"/>
      <c r="HF216" s="30"/>
      <c r="HG216" s="30"/>
      <c r="HH216" s="30"/>
      <c r="HI216" s="30"/>
      <c r="HJ216" s="30"/>
      <c r="HK216" s="30"/>
      <c r="HL216" s="30"/>
      <c r="HM216" s="30"/>
      <c r="HN216" s="30"/>
      <c r="HO216" s="30"/>
      <c r="HP216" s="30"/>
      <c r="HQ216" s="30"/>
      <c r="HR216" s="30"/>
      <c r="HS216" s="30"/>
      <c r="HT216" s="30"/>
      <c r="HU216" s="30"/>
      <c r="HV216" s="30"/>
      <c r="HW216" s="30"/>
      <c r="HX216" s="30"/>
      <c r="HY216" s="30"/>
      <c r="HZ216" s="30"/>
      <c r="IA216" s="30"/>
      <c r="IB216" s="30"/>
      <c r="IC216" s="30"/>
      <c r="ID216" s="30"/>
      <c r="IE216" s="30"/>
      <c r="IF216" s="30"/>
      <c r="IG216" s="30"/>
      <c r="IH216" s="30"/>
      <c r="II216" s="30"/>
      <c r="IJ216" s="30"/>
      <c r="IK216" s="30"/>
      <c r="IL216" s="30"/>
      <c r="IM216" s="30"/>
      <c r="IN216" s="30"/>
      <c r="IO216" s="30"/>
      <c r="IP216" s="30"/>
      <c r="IQ216" s="30"/>
      <c r="IR216" s="30"/>
      <c r="IS216" s="30"/>
      <c r="IT216" s="30"/>
      <c r="IU216" s="30"/>
      <c r="IV216" s="30"/>
      <c r="IW216" s="30"/>
      <c r="IX216" s="30"/>
      <c r="IY216" s="30"/>
      <c r="IZ216" s="30"/>
      <c r="JA216" s="30"/>
      <c r="JB216" s="30"/>
      <c r="JC216" s="30"/>
      <c r="JD216" s="30"/>
      <c r="JE216" s="30"/>
      <c r="JF216" s="30"/>
      <c r="JG216" s="30"/>
      <c r="JH216" s="30"/>
      <c r="JI216" s="30"/>
      <c r="JJ216" s="30"/>
      <c r="JK216" s="30"/>
      <c r="JL216" s="30"/>
      <c r="JM216" s="30"/>
      <c r="JN216" s="30"/>
      <c r="JO216" s="30"/>
      <c r="JP216" s="30"/>
      <c r="JQ216" s="30"/>
      <c r="JR216" s="30"/>
      <c r="JS216" s="30"/>
      <c r="JT216" s="30"/>
      <c r="JU216" s="30"/>
      <c r="JV216" s="30"/>
      <c r="JW216" s="30"/>
      <c r="JX216" s="30"/>
      <c r="JY216" s="30"/>
      <c r="JZ216" s="30"/>
      <c r="KA216" s="30"/>
      <c r="KB216" s="30"/>
      <c r="KC216" s="30"/>
      <c r="KD216" s="30"/>
      <c r="KE216" s="30"/>
      <c r="KF216" s="30"/>
      <c r="KG216" s="30"/>
      <c r="KH216" s="30"/>
      <c r="KI216" s="30"/>
      <c r="KJ216" s="30"/>
      <c r="KK216" s="30"/>
      <c r="KL216" s="30"/>
      <c r="KM216" s="30"/>
      <c r="KN216" s="30"/>
      <c r="KO216" s="30"/>
      <c r="KP216" s="30"/>
      <c r="KQ216" s="30"/>
      <c r="KR216" s="30"/>
      <c r="KS216" s="30"/>
      <c r="KT216" s="30"/>
      <c r="KU216" s="30"/>
      <c r="KV216" s="30"/>
      <c r="KW216" s="30"/>
      <c r="KX216" s="30"/>
      <c r="KY216" s="30"/>
      <c r="KZ216" s="30"/>
      <c r="LA216" s="30"/>
      <c r="LB216" s="30"/>
      <c r="LC216" s="30"/>
      <c r="LD216" s="30"/>
      <c r="LE216" s="30"/>
      <c r="LF216" s="30"/>
      <c r="LG216" s="30"/>
      <c r="LH216" s="30"/>
      <c r="LI216" s="30"/>
      <c r="LJ216" s="30"/>
      <c r="LK216" s="30"/>
      <c r="LL216" s="30"/>
      <c r="LM216" s="30"/>
      <c r="LN216" s="30"/>
      <c r="LO216" s="30"/>
      <c r="LP216" s="30"/>
      <c r="LQ216" s="30"/>
      <c r="LR216" s="30"/>
      <c r="LS216" s="30"/>
      <c r="LT216" s="30"/>
      <c r="LU216" s="30"/>
      <c r="LV216" s="30"/>
      <c r="LW216" s="30"/>
      <c r="LX216" s="30"/>
      <c r="LY216" s="30"/>
      <c r="LZ216" s="30"/>
      <c r="MA216" s="30"/>
      <c r="MB216" s="30"/>
      <c r="MC216" s="30"/>
      <c r="MD216" s="30"/>
      <c r="ME216" s="30"/>
      <c r="MF216" s="30"/>
      <c r="MG216" s="30"/>
      <c r="MH216" s="30"/>
      <c r="MI216" s="30"/>
      <c r="MJ216" s="30"/>
      <c r="MK216" s="30"/>
      <c r="ML216" s="30"/>
      <c r="MM216" s="30"/>
      <c r="MN216" s="30"/>
      <c r="MO216" s="30"/>
      <c r="MP216" s="30"/>
      <c r="MQ216" s="30"/>
      <c r="MR216" s="30"/>
      <c r="MS216" s="30"/>
      <c r="MT216" s="30"/>
      <c r="MU216" s="30"/>
      <c r="MV216" s="30"/>
      <c r="MW216" s="30"/>
      <c r="MX216" s="30"/>
      <c r="MY216" s="30"/>
      <c r="MZ216" s="30"/>
      <c r="NA216" s="30"/>
      <c r="NB216" s="30"/>
      <c r="NC216" s="30"/>
      <c r="ND216" s="30"/>
      <c r="NE216" s="30"/>
      <c r="NF216" s="30"/>
      <c r="NG216" s="30"/>
      <c r="NH216" s="30"/>
      <c r="NI216" s="30"/>
      <c r="NJ216" s="30"/>
      <c r="NK216" s="30"/>
      <c r="NL216" s="30"/>
      <c r="NM216" s="30"/>
      <c r="NN216" s="30"/>
      <c r="NO216" s="30"/>
      <c r="NP216" s="30"/>
      <c r="NQ216" s="30"/>
      <c r="NR216" s="30"/>
      <c r="NS216" s="30"/>
      <c r="NT216" s="30"/>
      <c r="NU216" s="30"/>
      <c r="NV216" s="30"/>
      <c r="NW216" s="30"/>
      <c r="NX216" s="30"/>
      <c r="NY216" s="30"/>
      <c r="NZ216" s="30"/>
      <c r="OA216" s="30"/>
      <c r="OB216" s="30"/>
      <c r="OC216" s="30"/>
      <c r="OD216" s="30"/>
      <c r="OE216" s="30"/>
      <c r="OF216" s="30"/>
      <c r="OG216" s="30"/>
      <c r="OH216" s="30"/>
      <c r="OI216" s="30"/>
      <c r="OJ216" s="30"/>
      <c r="OK216" s="30"/>
      <c r="OL216" s="30"/>
      <c r="OM216" s="30"/>
      <c r="ON216" s="30"/>
      <c r="OO216" s="30"/>
      <c r="OP216" s="30"/>
      <c r="OQ216" s="30"/>
      <c r="OR216" s="30"/>
      <c r="OS216" s="30"/>
      <c r="OT216" s="30"/>
      <c r="OU216" s="30"/>
      <c r="OV216" s="30"/>
      <c r="OW216" s="30"/>
      <c r="OX216" s="30"/>
      <c r="OY216" s="30"/>
      <c r="OZ216" s="30"/>
      <c r="PA216" s="30"/>
      <c r="PB216" s="30"/>
      <c r="PC216" s="30"/>
      <c r="PD216" s="30"/>
      <c r="PE216" s="30"/>
      <c r="PF216" s="30"/>
      <c r="PG216" s="30"/>
      <c r="PH216" s="30"/>
      <c r="PI216" s="30"/>
      <c r="PJ216" s="30"/>
      <c r="PK216" s="30"/>
      <c r="PL216" s="30"/>
      <c r="PM216" s="30"/>
      <c r="PN216" s="30"/>
      <c r="PO216" s="30"/>
      <c r="PP216" s="30"/>
      <c r="PQ216" s="30"/>
      <c r="PR216" s="30"/>
      <c r="PS216" s="30"/>
      <c r="PT216" s="30"/>
      <c r="PU216" s="30"/>
      <c r="PV216" s="30"/>
      <c r="PW216" s="30"/>
      <c r="PX216" s="30"/>
      <c r="PY216" s="30"/>
      <c r="PZ216" s="30"/>
      <c r="QA216" s="30"/>
      <c r="QB216" s="30"/>
      <c r="QC216" s="30"/>
      <c r="QD216" s="30"/>
      <c r="QE216" s="30"/>
      <c r="QF216" s="30"/>
      <c r="QG216" s="30"/>
      <c r="QH216" s="30"/>
      <c r="QI216" s="30"/>
      <c r="QJ216" s="30"/>
      <c r="QK216" s="30"/>
      <c r="QL216" s="30"/>
      <c r="QM216" s="30"/>
      <c r="QN216" s="30"/>
      <c r="QO216" s="30"/>
      <c r="QP216" s="30"/>
      <c r="QQ216" s="30"/>
      <c r="QR216" s="30"/>
      <c r="QS216" s="30"/>
      <c r="QT216" s="30"/>
      <c r="QU216" s="30"/>
      <c r="QV216" s="30"/>
      <c r="QW216" s="30"/>
      <c r="QX216" s="30"/>
      <c r="QY216" s="30"/>
      <c r="QZ216" s="30"/>
      <c r="RA216" s="30"/>
      <c r="RB216" s="30"/>
      <c r="RC216" s="30"/>
      <c r="RD216" s="30"/>
      <c r="RE216" s="30"/>
      <c r="RF216" s="30"/>
      <c r="RG216" s="30"/>
      <c r="RH216" s="30"/>
      <c r="RI216" s="30"/>
      <c r="RJ216" s="30"/>
      <c r="RK216" s="30"/>
      <c r="RL216" s="30"/>
      <c r="RM216" s="30"/>
      <c r="RN216" s="30"/>
      <c r="RO216" s="30"/>
      <c r="RP216" s="30"/>
      <c r="RQ216" s="30"/>
      <c r="RR216" s="30"/>
      <c r="RS216" s="30"/>
      <c r="RT216" s="30"/>
      <c r="RU216" s="30"/>
      <c r="RV216" s="30"/>
      <c r="RW216" s="30"/>
      <c r="RX216" s="30"/>
      <c r="RY216" s="30"/>
      <c r="RZ216" s="30"/>
      <c r="SA216" s="30"/>
      <c r="SB216" s="30"/>
      <c r="SC216" s="30"/>
      <c r="SD216" s="30"/>
      <c r="SE216" s="30"/>
      <c r="SF216" s="30"/>
      <c r="SG216" s="30"/>
      <c r="SH216" s="30"/>
      <c r="SI216" s="30"/>
      <c r="SJ216" s="30"/>
      <c r="SK216" s="30"/>
      <c r="SL216" s="30"/>
      <c r="SM216" s="30"/>
      <c r="SN216" s="30"/>
      <c r="SO216" s="30"/>
      <c r="SP216" s="30"/>
      <c r="SQ216" s="30"/>
      <c r="SR216" s="30"/>
      <c r="SS216" s="30"/>
      <c r="ST216" s="30"/>
      <c r="SU216" s="30"/>
      <c r="SV216" s="30"/>
      <c r="SW216" s="30"/>
      <c r="SX216" s="30"/>
      <c r="SY216" s="30"/>
      <c r="SZ216" s="30"/>
      <c r="TA216" s="30"/>
      <c r="TB216" s="30"/>
      <c r="TC216" s="30"/>
      <c r="TD216" s="30"/>
      <c r="TE216" s="30"/>
      <c r="TF216" s="30"/>
      <c r="TG216" s="30"/>
      <c r="TH216" s="30"/>
      <c r="TI216" s="30"/>
      <c r="TJ216" s="30"/>
      <c r="TK216" s="30"/>
      <c r="TL216" s="30"/>
      <c r="TM216" s="30"/>
      <c r="TN216" s="30"/>
      <c r="TO216" s="30"/>
      <c r="TP216" s="30"/>
      <c r="TQ216" s="30"/>
      <c r="TR216" s="30"/>
      <c r="TS216" s="30"/>
      <c r="TT216" s="30"/>
      <c r="TU216" s="30"/>
      <c r="TV216" s="30"/>
      <c r="TW216" s="30"/>
      <c r="TX216" s="30"/>
      <c r="TY216" s="30"/>
      <c r="TZ216" s="30"/>
      <c r="UA216" s="30"/>
      <c r="UB216" s="30"/>
      <c r="UC216" s="30"/>
      <c r="UD216" s="30"/>
      <c r="UE216" s="30"/>
      <c r="UF216" s="30"/>
      <c r="UG216" s="30"/>
      <c r="UH216" s="30"/>
      <c r="UI216" s="30"/>
      <c r="UJ216" s="30"/>
      <c r="UK216" s="30"/>
      <c r="UL216" s="30"/>
      <c r="UM216" s="30"/>
      <c r="UN216" s="30"/>
      <c r="UO216" s="30"/>
      <c r="UP216" s="30"/>
      <c r="UQ216" s="30"/>
      <c r="UR216" s="30"/>
      <c r="US216" s="30"/>
      <c r="UT216" s="30"/>
      <c r="UU216" s="30"/>
      <c r="UV216" s="30"/>
      <c r="UW216" s="30"/>
      <c r="UX216" s="30"/>
      <c r="UY216" s="30"/>
      <c r="UZ216" s="30"/>
      <c r="VA216" s="30"/>
      <c r="VB216" s="30"/>
      <c r="VC216" s="30"/>
      <c r="VD216" s="30"/>
      <c r="VE216" s="30"/>
      <c r="VF216" s="30"/>
      <c r="VG216" s="30"/>
      <c r="VH216" s="30"/>
      <c r="VI216" s="30"/>
      <c r="VJ216" s="30"/>
      <c r="VK216" s="30"/>
      <c r="VL216" s="30"/>
      <c r="VM216" s="30"/>
      <c r="VN216" s="30"/>
      <c r="VO216" s="30"/>
      <c r="VP216" s="30"/>
      <c r="VQ216" s="30"/>
      <c r="VR216" s="30"/>
      <c r="VS216" s="30"/>
      <c r="VT216" s="30"/>
      <c r="VU216" s="30"/>
      <c r="VV216" s="30"/>
      <c r="VW216" s="30"/>
      <c r="VX216" s="30"/>
      <c r="VY216" s="30"/>
      <c r="VZ216" s="30"/>
      <c r="WA216" s="30"/>
      <c r="WB216" s="30"/>
      <c r="WC216" s="30"/>
      <c r="WD216" s="30"/>
      <c r="WE216" s="30"/>
      <c r="WF216" s="30"/>
      <c r="WG216" s="30"/>
      <c r="WH216" s="30"/>
      <c r="WI216" s="30"/>
      <c r="WJ216" s="30"/>
      <c r="WK216" s="30"/>
      <c r="WL216" s="30"/>
      <c r="WM216" s="30"/>
      <c r="WN216" s="30"/>
      <c r="WO216" s="30"/>
      <c r="WP216" s="30"/>
      <c r="WQ216" s="30"/>
      <c r="WR216" s="30"/>
      <c r="WS216" s="30"/>
      <c r="WT216" s="30"/>
      <c r="WU216" s="30"/>
      <c r="WV216" s="30"/>
      <c r="WW216" s="30"/>
      <c r="WX216" s="30"/>
      <c r="WY216" s="30"/>
      <c r="WZ216" s="30"/>
      <c r="XA216" s="30"/>
      <c r="XB216" s="30"/>
      <c r="XC216" s="30"/>
      <c r="XD216" s="30"/>
      <c r="XE216" s="30"/>
      <c r="XF216" s="30"/>
      <c r="XG216" s="30"/>
      <c r="XH216" s="30"/>
      <c r="XI216" s="30"/>
      <c r="XJ216" s="30"/>
      <c r="XK216" s="30"/>
      <c r="XL216" s="30"/>
      <c r="XM216" s="30"/>
      <c r="XN216" s="30"/>
      <c r="XO216" s="30"/>
      <c r="XP216" s="30"/>
      <c r="XQ216" s="30"/>
      <c r="XR216" s="30"/>
      <c r="XS216" s="30"/>
      <c r="XT216" s="30"/>
      <c r="XU216" s="30"/>
      <c r="XV216" s="30"/>
      <c r="XW216" s="30"/>
      <c r="XX216" s="30"/>
      <c r="XY216" s="30"/>
      <c r="XZ216" s="30"/>
      <c r="YA216" s="30"/>
      <c r="YB216" s="30"/>
      <c r="YC216" s="30"/>
      <c r="YD216" s="30"/>
      <c r="YE216" s="30"/>
      <c r="YF216" s="30"/>
      <c r="YG216" s="30"/>
      <c r="YH216" s="30"/>
      <c r="YI216" s="30"/>
      <c r="YJ216" s="30"/>
      <c r="YK216" s="30"/>
      <c r="YL216" s="30"/>
      <c r="YM216" s="30"/>
      <c r="YN216" s="30"/>
      <c r="YO216" s="30"/>
      <c r="YP216" s="30"/>
      <c r="YQ216" s="30"/>
      <c r="YR216" s="30"/>
      <c r="YS216" s="30"/>
      <c r="YT216" s="30"/>
      <c r="YU216" s="30"/>
      <c r="YV216" s="30"/>
      <c r="YW216" s="30"/>
      <c r="YX216" s="30"/>
      <c r="YY216" s="30"/>
      <c r="YZ216" s="30"/>
      <c r="ZA216" s="30"/>
      <c r="ZB216" s="30"/>
      <c r="ZC216" s="30"/>
      <c r="ZD216" s="30"/>
      <c r="ZE216" s="30"/>
    </row>
    <row r="217" spans="1:681" x14ac:dyDescent="0.2">
      <c r="A217" s="90" t="s">
        <v>787</v>
      </c>
      <c r="B217" s="90"/>
      <c r="C217" s="90">
        <v>149146</v>
      </c>
      <c r="D217" s="39">
        <v>1</v>
      </c>
      <c r="E217" s="39" t="s">
        <v>411</v>
      </c>
      <c r="F217" s="79">
        <v>41689</v>
      </c>
      <c r="G217" s="79">
        <f t="shared" si="25"/>
        <v>42054</v>
      </c>
      <c r="H217" s="38" t="s">
        <v>565</v>
      </c>
      <c r="I217" s="38"/>
      <c r="J217" s="98"/>
      <c r="K217" s="1" t="s">
        <v>485</v>
      </c>
      <c r="P217" s="30"/>
      <c r="Q217" s="30"/>
      <c r="R217" s="30"/>
      <c r="S217" s="30"/>
      <c r="T217" s="30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/>
      <c r="AG217" s="30"/>
      <c r="AH217" s="30"/>
      <c r="AI217" s="30"/>
      <c r="AJ217" s="30"/>
      <c r="AK217" s="30"/>
      <c r="AL217" s="30"/>
      <c r="AM217" s="30"/>
      <c r="AN217" s="30"/>
      <c r="AO217" s="30"/>
      <c r="AP217" s="30"/>
      <c r="AQ217" s="30"/>
      <c r="AR217" s="30"/>
      <c r="AS217" s="30"/>
      <c r="AT217" s="30"/>
      <c r="AU217" s="30"/>
      <c r="AV217" s="30"/>
      <c r="AW217" s="30"/>
      <c r="AX217" s="30"/>
      <c r="AY217" s="30"/>
      <c r="AZ217" s="30"/>
      <c r="BA217" s="30"/>
      <c r="BB217" s="30"/>
      <c r="BC217" s="30"/>
      <c r="BD217" s="30"/>
      <c r="BE217" s="30"/>
      <c r="BF217" s="30"/>
      <c r="BG217" s="30"/>
      <c r="BH217" s="30"/>
      <c r="BI217" s="30"/>
      <c r="BJ217" s="30"/>
      <c r="BK217" s="30"/>
      <c r="BL217" s="30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  <c r="DB217" s="30"/>
      <c r="DC217" s="30"/>
      <c r="DD217" s="30"/>
      <c r="DE217" s="30"/>
      <c r="DF217" s="30"/>
      <c r="DG217" s="30"/>
      <c r="DH217" s="30"/>
      <c r="DI217" s="30"/>
      <c r="DJ217" s="30"/>
      <c r="DK217" s="30"/>
      <c r="DL217" s="30"/>
      <c r="DM217" s="30"/>
      <c r="DN217" s="30"/>
      <c r="DO217" s="30"/>
      <c r="DP217" s="30"/>
      <c r="DQ217" s="30"/>
      <c r="DR217" s="30"/>
      <c r="DS217" s="30"/>
      <c r="DT217" s="30"/>
      <c r="DU217" s="30"/>
      <c r="DV217" s="30"/>
      <c r="DW217" s="30"/>
      <c r="DX217" s="30"/>
      <c r="DY217" s="30"/>
      <c r="DZ217" s="30"/>
      <c r="EA217" s="30"/>
      <c r="EB217" s="30"/>
      <c r="EC217" s="30"/>
      <c r="ED217" s="30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  <c r="FA217" s="30"/>
      <c r="FB217" s="30"/>
      <c r="FC217" s="30"/>
      <c r="FD217" s="30"/>
      <c r="FE217" s="30"/>
      <c r="FF217" s="30"/>
      <c r="FG217" s="30"/>
      <c r="FH217" s="30"/>
      <c r="FI217" s="30"/>
      <c r="FJ217" s="30"/>
      <c r="FK217" s="30"/>
      <c r="FL217" s="30"/>
      <c r="FM217" s="30"/>
      <c r="FN217" s="30"/>
      <c r="FO217" s="30"/>
      <c r="FP217" s="30"/>
      <c r="FQ217" s="30"/>
      <c r="FR217" s="30"/>
      <c r="FS217" s="30"/>
      <c r="FT217" s="30"/>
      <c r="FU217" s="30"/>
      <c r="FV217" s="30"/>
      <c r="FW217" s="30"/>
      <c r="FX217" s="30"/>
      <c r="FY217" s="30"/>
      <c r="FZ217" s="30"/>
      <c r="GA217" s="30"/>
      <c r="GB217" s="30"/>
      <c r="GC217" s="30"/>
      <c r="GD217" s="30"/>
      <c r="GE217" s="30"/>
      <c r="GF217" s="30"/>
      <c r="GG217" s="30"/>
      <c r="GH217" s="30"/>
      <c r="GI217" s="30"/>
      <c r="GJ217" s="30"/>
      <c r="GK217" s="30"/>
      <c r="GL217" s="30"/>
      <c r="GM217" s="30"/>
      <c r="GN217" s="30"/>
      <c r="GO217" s="30"/>
      <c r="GP217" s="30"/>
      <c r="GQ217" s="30"/>
      <c r="GR217" s="30"/>
      <c r="GS217" s="30"/>
      <c r="GT217" s="30"/>
      <c r="GU217" s="30"/>
      <c r="GV217" s="30"/>
      <c r="GW217" s="30"/>
      <c r="GX217" s="30"/>
      <c r="GY217" s="30"/>
      <c r="GZ217" s="30"/>
      <c r="HA217" s="30"/>
      <c r="HB217" s="30"/>
      <c r="HC217" s="30"/>
      <c r="HD217" s="30"/>
      <c r="HE217" s="30"/>
      <c r="HF217" s="30"/>
      <c r="HG217" s="30"/>
      <c r="HH217" s="30"/>
      <c r="HI217" s="30"/>
      <c r="HJ217" s="30"/>
      <c r="HK217" s="30"/>
      <c r="HL217" s="30"/>
      <c r="HM217" s="30"/>
      <c r="HN217" s="30"/>
      <c r="HO217" s="30"/>
      <c r="HP217" s="30"/>
      <c r="HQ217" s="30"/>
      <c r="HR217" s="30"/>
      <c r="HS217" s="30"/>
      <c r="HT217" s="30"/>
      <c r="HU217" s="30"/>
      <c r="HV217" s="30"/>
      <c r="HW217" s="30"/>
      <c r="HX217" s="30"/>
      <c r="HY217" s="30"/>
      <c r="HZ217" s="30"/>
      <c r="IA217" s="30"/>
      <c r="IB217" s="30"/>
      <c r="IC217" s="30"/>
      <c r="ID217" s="30"/>
      <c r="IE217" s="30"/>
      <c r="IF217" s="30"/>
      <c r="IG217" s="30"/>
      <c r="IH217" s="30"/>
      <c r="II217" s="30"/>
      <c r="IJ217" s="30"/>
      <c r="IK217" s="30"/>
      <c r="IL217" s="30"/>
      <c r="IM217" s="30"/>
      <c r="IN217" s="30"/>
      <c r="IO217" s="30"/>
      <c r="IP217" s="30"/>
      <c r="IQ217" s="30"/>
      <c r="IR217" s="30"/>
      <c r="IS217" s="30"/>
      <c r="IT217" s="30"/>
      <c r="IU217" s="30"/>
      <c r="IV217" s="30"/>
      <c r="IW217" s="30"/>
      <c r="IX217" s="30"/>
      <c r="IY217" s="30"/>
      <c r="IZ217" s="30"/>
      <c r="JA217" s="30"/>
      <c r="JB217" s="30"/>
      <c r="JC217" s="30"/>
      <c r="JD217" s="30"/>
      <c r="JE217" s="30"/>
      <c r="JF217" s="30"/>
      <c r="JG217" s="30"/>
      <c r="JH217" s="30"/>
      <c r="JI217" s="30"/>
      <c r="JJ217" s="30"/>
      <c r="JK217" s="30"/>
      <c r="JL217" s="30"/>
      <c r="JM217" s="30"/>
      <c r="JN217" s="30"/>
      <c r="JO217" s="30"/>
      <c r="JP217" s="30"/>
      <c r="JQ217" s="30"/>
      <c r="JR217" s="30"/>
      <c r="JS217" s="30"/>
      <c r="JT217" s="30"/>
      <c r="JU217" s="30"/>
      <c r="JV217" s="30"/>
      <c r="JW217" s="30"/>
      <c r="JX217" s="30"/>
      <c r="JY217" s="30"/>
      <c r="JZ217" s="30"/>
      <c r="KA217" s="30"/>
      <c r="KB217" s="30"/>
      <c r="KC217" s="30"/>
      <c r="KD217" s="30"/>
      <c r="KE217" s="30"/>
      <c r="KF217" s="30"/>
      <c r="KG217" s="30"/>
      <c r="KH217" s="30"/>
      <c r="KI217" s="30"/>
      <c r="KJ217" s="30"/>
      <c r="KK217" s="30"/>
      <c r="KL217" s="30"/>
      <c r="KM217" s="30"/>
      <c r="KN217" s="30"/>
      <c r="KO217" s="30"/>
      <c r="KP217" s="30"/>
      <c r="KQ217" s="30"/>
      <c r="KR217" s="30"/>
      <c r="KS217" s="30"/>
      <c r="KT217" s="30"/>
      <c r="KU217" s="30"/>
      <c r="KV217" s="30"/>
      <c r="KW217" s="30"/>
      <c r="KX217" s="30"/>
      <c r="KY217" s="30"/>
      <c r="KZ217" s="30"/>
      <c r="LA217" s="30"/>
      <c r="LB217" s="30"/>
      <c r="LC217" s="30"/>
      <c r="LD217" s="30"/>
      <c r="LE217" s="30"/>
      <c r="LF217" s="30"/>
      <c r="LG217" s="30"/>
      <c r="LH217" s="30"/>
      <c r="LI217" s="30"/>
      <c r="LJ217" s="30"/>
      <c r="LK217" s="30"/>
      <c r="LL217" s="30"/>
      <c r="LM217" s="30"/>
      <c r="LN217" s="30"/>
      <c r="LO217" s="30"/>
      <c r="LP217" s="30"/>
      <c r="LQ217" s="30"/>
      <c r="LR217" s="30"/>
      <c r="LS217" s="30"/>
      <c r="LT217" s="30"/>
      <c r="LU217" s="30"/>
      <c r="LV217" s="30"/>
      <c r="LW217" s="30"/>
      <c r="LX217" s="30"/>
      <c r="LY217" s="30"/>
      <c r="LZ217" s="30"/>
      <c r="MA217" s="30"/>
      <c r="MB217" s="30"/>
      <c r="MC217" s="30"/>
      <c r="MD217" s="30"/>
      <c r="ME217" s="30"/>
      <c r="MF217" s="30"/>
      <c r="MG217" s="30"/>
      <c r="MH217" s="30"/>
      <c r="MI217" s="30"/>
      <c r="MJ217" s="30"/>
      <c r="MK217" s="30"/>
      <c r="ML217" s="30"/>
      <c r="MM217" s="30"/>
      <c r="MN217" s="30"/>
      <c r="MO217" s="30"/>
      <c r="MP217" s="30"/>
      <c r="MQ217" s="30"/>
      <c r="MR217" s="30"/>
      <c r="MS217" s="30"/>
      <c r="MT217" s="30"/>
      <c r="MU217" s="30"/>
      <c r="MV217" s="30"/>
      <c r="MW217" s="30"/>
      <c r="MX217" s="30"/>
      <c r="MY217" s="30"/>
      <c r="MZ217" s="30"/>
      <c r="NA217" s="30"/>
      <c r="NB217" s="30"/>
      <c r="NC217" s="30"/>
      <c r="ND217" s="30"/>
      <c r="NE217" s="30"/>
      <c r="NF217" s="30"/>
      <c r="NG217" s="30"/>
      <c r="NH217" s="30"/>
      <c r="NI217" s="30"/>
      <c r="NJ217" s="30"/>
      <c r="NK217" s="30"/>
      <c r="NL217" s="30"/>
      <c r="NM217" s="30"/>
      <c r="NN217" s="30"/>
      <c r="NO217" s="30"/>
      <c r="NP217" s="30"/>
      <c r="NQ217" s="30"/>
      <c r="NR217" s="30"/>
      <c r="NS217" s="30"/>
      <c r="NT217" s="30"/>
      <c r="NU217" s="30"/>
      <c r="NV217" s="30"/>
      <c r="NW217" s="30"/>
      <c r="NX217" s="30"/>
      <c r="NY217" s="30"/>
      <c r="NZ217" s="30"/>
      <c r="OA217" s="30"/>
      <c r="OB217" s="30"/>
      <c r="OC217" s="30"/>
      <c r="OD217" s="30"/>
      <c r="OE217" s="30"/>
      <c r="OF217" s="30"/>
      <c r="OG217" s="30"/>
      <c r="OH217" s="30"/>
      <c r="OI217" s="30"/>
      <c r="OJ217" s="30"/>
      <c r="OK217" s="30"/>
      <c r="OL217" s="30"/>
      <c r="OM217" s="30"/>
      <c r="ON217" s="30"/>
      <c r="OO217" s="30"/>
      <c r="OP217" s="30"/>
      <c r="OQ217" s="30"/>
      <c r="OR217" s="30"/>
      <c r="OS217" s="30"/>
      <c r="OT217" s="30"/>
      <c r="OU217" s="30"/>
      <c r="OV217" s="30"/>
      <c r="OW217" s="30"/>
      <c r="OX217" s="30"/>
      <c r="OY217" s="30"/>
      <c r="OZ217" s="30"/>
      <c r="PA217" s="30"/>
      <c r="PB217" s="30"/>
      <c r="PC217" s="30"/>
      <c r="PD217" s="30"/>
      <c r="PE217" s="30"/>
      <c r="PF217" s="30"/>
      <c r="PG217" s="30"/>
      <c r="PH217" s="30"/>
      <c r="PI217" s="30"/>
      <c r="PJ217" s="30"/>
      <c r="PK217" s="30"/>
      <c r="PL217" s="30"/>
      <c r="PM217" s="30"/>
      <c r="PN217" s="30"/>
      <c r="PO217" s="30"/>
      <c r="PP217" s="30"/>
      <c r="PQ217" s="30"/>
      <c r="PR217" s="30"/>
      <c r="PS217" s="30"/>
      <c r="PT217" s="30"/>
      <c r="PU217" s="30"/>
      <c r="PV217" s="30"/>
      <c r="PW217" s="30"/>
      <c r="PX217" s="30"/>
      <c r="PY217" s="30"/>
      <c r="PZ217" s="30"/>
      <c r="QA217" s="30"/>
      <c r="QB217" s="30"/>
      <c r="QC217" s="30"/>
      <c r="QD217" s="30"/>
      <c r="QE217" s="30"/>
      <c r="QF217" s="30"/>
      <c r="QG217" s="30"/>
      <c r="QH217" s="30"/>
      <c r="QI217" s="30"/>
      <c r="QJ217" s="30"/>
      <c r="QK217" s="30"/>
      <c r="QL217" s="30"/>
      <c r="QM217" s="30"/>
      <c r="QN217" s="30"/>
      <c r="QO217" s="30"/>
      <c r="QP217" s="30"/>
      <c r="QQ217" s="30"/>
      <c r="QR217" s="30"/>
      <c r="QS217" s="30"/>
      <c r="QT217" s="30"/>
      <c r="QU217" s="30"/>
      <c r="QV217" s="30"/>
      <c r="QW217" s="30"/>
      <c r="QX217" s="30"/>
      <c r="QY217" s="30"/>
      <c r="QZ217" s="30"/>
      <c r="RA217" s="30"/>
      <c r="RB217" s="30"/>
      <c r="RC217" s="30"/>
      <c r="RD217" s="30"/>
      <c r="RE217" s="30"/>
      <c r="RF217" s="30"/>
      <c r="RG217" s="30"/>
      <c r="RH217" s="30"/>
      <c r="RI217" s="30"/>
      <c r="RJ217" s="30"/>
      <c r="RK217" s="30"/>
      <c r="RL217" s="30"/>
      <c r="RM217" s="30"/>
      <c r="RN217" s="30"/>
      <c r="RO217" s="30"/>
      <c r="RP217" s="30"/>
      <c r="RQ217" s="30"/>
      <c r="RR217" s="30"/>
      <c r="RS217" s="30"/>
      <c r="RT217" s="30"/>
      <c r="RU217" s="30"/>
      <c r="RV217" s="30"/>
      <c r="RW217" s="30"/>
      <c r="RX217" s="30"/>
      <c r="RY217" s="30"/>
      <c r="RZ217" s="30"/>
      <c r="SA217" s="30"/>
      <c r="SB217" s="30"/>
      <c r="SC217" s="30"/>
      <c r="SD217" s="30"/>
      <c r="SE217" s="30"/>
      <c r="SF217" s="30"/>
      <c r="SG217" s="30"/>
      <c r="SH217" s="30"/>
      <c r="SI217" s="30"/>
      <c r="SJ217" s="30"/>
      <c r="SK217" s="30"/>
      <c r="SL217" s="30"/>
      <c r="SM217" s="30"/>
      <c r="SN217" s="30"/>
      <c r="SO217" s="30"/>
      <c r="SP217" s="30"/>
      <c r="SQ217" s="30"/>
      <c r="SR217" s="30"/>
      <c r="SS217" s="30"/>
      <c r="ST217" s="30"/>
      <c r="SU217" s="30"/>
      <c r="SV217" s="30"/>
      <c r="SW217" s="30"/>
      <c r="SX217" s="30"/>
      <c r="SY217" s="30"/>
      <c r="SZ217" s="30"/>
      <c r="TA217" s="30"/>
      <c r="TB217" s="30"/>
      <c r="TC217" s="30"/>
      <c r="TD217" s="30"/>
      <c r="TE217" s="30"/>
      <c r="TF217" s="30"/>
      <c r="TG217" s="30"/>
      <c r="TH217" s="30"/>
      <c r="TI217" s="30"/>
      <c r="TJ217" s="30"/>
      <c r="TK217" s="30"/>
      <c r="TL217" s="30"/>
      <c r="TM217" s="30"/>
      <c r="TN217" s="30"/>
      <c r="TO217" s="30"/>
      <c r="TP217" s="30"/>
      <c r="TQ217" s="30"/>
      <c r="TR217" s="30"/>
      <c r="TS217" s="30"/>
      <c r="TT217" s="30"/>
      <c r="TU217" s="30"/>
      <c r="TV217" s="30"/>
      <c r="TW217" s="30"/>
      <c r="TX217" s="30"/>
      <c r="TY217" s="30"/>
      <c r="TZ217" s="30"/>
      <c r="UA217" s="30"/>
      <c r="UB217" s="30"/>
      <c r="UC217" s="30"/>
      <c r="UD217" s="30"/>
      <c r="UE217" s="30"/>
      <c r="UF217" s="30"/>
      <c r="UG217" s="30"/>
      <c r="UH217" s="30"/>
      <c r="UI217" s="30"/>
      <c r="UJ217" s="30"/>
      <c r="UK217" s="30"/>
      <c r="UL217" s="30"/>
      <c r="UM217" s="30"/>
      <c r="UN217" s="30"/>
      <c r="UO217" s="30"/>
      <c r="UP217" s="30"/>
      <c r="UQ217" s="30"/>
      <c r="UR217" s="30"/>
      <c r="US217" s="30"/>
      <c r="UT217" s="30"/>
      <c r="UU217" s="30"/>
      <c r="UV217" s="30"/>
      <c r="UW217" s="30"/>
      <c r="UX217" s="30"/>
      <c r="UY217" s="30"/>
      <c r="UZ217" s="30"/>
      <c r="VA217" s="30"/>
      <c r="VB217" s="30"/>
      <c r="VC217" s="30"/>
      <c r="VD217" s="30"/>
      <c r="VE217" s="30"/>
      <c r="VF217" s="30"/>
      <c r="VG217" s="30"/>
      <c r="VH217" s="30"/>
      <c r="VI217" s="30"/>
      <c r="VJ217" s="30"/>
      <c r="VK217" s="30"/>
      <c r="VL217" s="30"/>
      <c r="VM217" s="30"/>
      <c r="VN217" s="30"/>
      <c r="VO217" s="30"/>
      <c r="VP217" s="30"/>
      <c r="VQ217" s="30"/>
      <c r="VR217" s="30"/>
      <c r="VS217" s="30"/>
      <c r="VT217" s="30"/>
      <c r="VU217" s="30"/>
      <c r="VV217" s="30"/>
      <c r="VW217" s="30"/>
      <c r="VX217" s="30"/>
      <c r="VY217" s="30"/>
      <c r="VZ217" s="30"/>
      <c r="WA217" s="30"/>
      <c r="WB217" s="30"/>
      <c r="WC217" s="30"/>
      <c r="WD217" s="30"/>
      <c r="WE217" s="30"/>
      <c r="WF217" s="30"/>
      <c r="WG217" s="30"/>
      <c r="WH217" s="30"/>
      <c r="WI217" s="30"/>
      <c r="WJ217" s="30"/>
      <c r="WK217" s="30"/>
      <c r="WL217" s="30"/>
      <c r="WM217" s="30"/>
      <c r="WN217" s="30"/>
      <c r="WO217" s="30"/>
      <c r="WP217" s="30"/>
      <c r="WQ217" s="30"/>
      <c r="WR217" s="30"/>
      <c r="WS217" s="30"/>
      <c r="WT217" s="30"/>
      <c r="WU217" s="30"/>
      <c r="WV217" s="30"/>
      <c r="WW217" s="30"/>
      <c r="WX217" s="30"/>
      <c r="WY217" s="30"/>
      <c r="WZ217" s="30"/>
      <c r="XA217" s="30"/>
      <c r="XB217" s="30"/>
      <c r="XC217" s="30"/>
      <c r="XD217" s="30"/>
      <c r="XE217" s="30"/>
      <c r="XF217" s="30"/>
      <c r="XG217" s="30"/>
      <c r="XH217" s="30"/>
      <c r="XI217" s="30"/>
      <c r="XJ217" s="30"/>
      <c r="XK217" s="30"/>
      <c r="XL217" s="30"/>
      <c r="XM217" s="30"/>
      <c r="XN217" s="30"/>
      <c r="XO217" s="30"/>
      <c r="XP217" s="30"/>
      <c r="XQ217" s="30"/>
      <c r="XR217" s="30"/>
      <c r="XS217" s="30"/>
      <c r="XT217" s="30"/>
      <c r="XU217" s="30"/>
      <c r="XV217" s="30"/>
      <c r="XW217" s="30"/>
      <c r="XX217" s="30"/>
      <c r="XY217" s="30"/>
      <c r="XZ217" s="30"/>
      <c r="YA217" s="30"/>
      <c r="YB217" s="30"/>
      <c r="YC217" s="30"/>
      <c r="YD217" s="30"/>
      <c r="YE217" s="30"/>
      <c r="YF217" s="30"/>
      <c r="YG217" s="30"/>
      <c r="YH217" s="30"/>
      <c r="YI217" s="30"/>
      <c r="YJ217" s="30"/>
      <c r="YK217" s="30"/>
      <c r="YL217" s="30"/>
      <c r="YM217" s="30"/>
      <c r="YN217" s="30"/>
      <c r="YO217" s="30"/>
      <c r="YP217" s="30"/>
      <c r="YQ217" s="30"/>
      <c r="YR217" s="30"/>
      <c r="YS217" s="30"/>
      <c r="YT217" s="30"/>
      <c r="YU217" s="30"/>
      <c r="YV217" s="30"/>
      <c r="YW217" s="30"/>
      <c r="YX217" s="30"/>
      <c r="YY217" s="30"/>
      <c r="YZ217" s="30"/>
      <c r="ZA217" s="30"/>
      <c r="ZB217" s="30"/>
      <c r="ZC217" s="30"/>
      <c r="ZD217" s="30"/>
      <c r="ZE217" s="30"/>
    </row>
    <row r="218" spans="1:681" x14ac:dyDescent="0.2">
      <c r="A218" s="90" t="s">
        <v>787</v>
      </c>
      <c r="B218" s="90"/>
      <c r="C218" s="90">
        <v>118115</v>
      </c>
      <c r="D218" s="39">
        <v>1</v>
      </c>
      <c r="E218" s="39" t="s">
        <v>411</v>
      </c>
      <c r="F218" s="79"/>
      <c r="G218" s="79"/>
      <c r="H218" s="38" t="s">
        <v>565</v>
      </c>
      <c r="I218" s="38"/>
      <c r="J218" s="98"/>
      <c r="K218" s="1" t="s">
        <v>485</v>
      </c>
      <c r="P218" s="30"/>
      <c r="Q218" s="30"/>
      <c r="R218" s="30"/>
      <c r="S218" s="30"/>
      <c r="T218" s="30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/>
      <c r="AG218" s="30"/>
      <c r="AH218" s="30"/>
      <c r="AI218" s="30"/>
      <c r="AJ218" s="30"/>
      <c r="AK218" s="30"/>
      <c r="AL218" s="30"/>
      <c r="AM218" s="30"/>
      <c r="AN218" s="30"/>
      <c r="AO218" s="30"/>
      <c r="AP218" s="30"/>
      <c r="AQ218" s="30"/>
      <c r="AR218" s="30"/>
      <c r="AS218" s="30"/>
      <c r="AT218" s="30"/>
      <c r="AU218" s="30"/>
      <c r="AV218" s="30"/>
      <c r="AW218" s="30"/>
      <c r="AX218" s="30"/>
      <c r="AY218" s="30"/>
      <c r="AZ218" s="30"/>
      <c r="BA218" s="30"/>
      <c r="BB218" s="30"/>
      <c r="BC218" s="30"/>
      <c r="BD218" s="30"/>
      <c r="BE218" s="30"/>
      <c r="BF218" s="30"/>
      <c r="BG218" s="30"/>
      <c r="BH218" s="30"/>
      <c r="BI218" s="30"/>
      <c r="BJ218" s="30"/>
      <c r="BK218" s="30"/>
      <c r="BL218" s="30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  <c r="DB218" s="30"/>
      <c r="DC218" s="30"/>
      <c r="DD218" s="30"/>
      <c r="DE218" s="30"/>
      <c r="DF218" s="30"/>
      <c r="DG218" s="30"/>
      <c r="DH218" s="30"/>
      <c r="DI218" s="30"/>
      <c r="DJ218" s="30"/>
      <c r="DK218" s="30"/>
      <c r="DL218" s="30"/>
      <c r="DM218" s="30"/>
      <c r="DN218" s="30"/>
      <c r="DO218" s="30"/>
      <c r="DP218" s="30"/>
      <c r="DQ218" s="30"/>
      <c r="DR218" s="30"/>
      <c r="DS218" s="30"/>
      <c r="DT218" s="30"/>
      <c r="DU218" s="30"/>
      <c r="DV218" s="30"/>
      <c r="DW218" s="30"/>
      <c r="DX218" s="30"/>
      <c r="DY218" s="30"/>
      <c r="DZ218" s="30"/>
      <c r="EA218" s="30"/>
      <c r="EB218" s="30"/>
      <c r="EC218" s="30"/>
      <c r="ED218" s="30"/>
      <c r="EE218" s="30"/>
      <c r="EF218" s="30"/>
      <c r="EG218" s="30"/>
      <c r="EH218" s="30"/>
      <c r="EI218" s="30"/>
      <c r="EJ218" s="30"/>
      <c r="EK218" s="30"/>
      <c r="EL218" s="30"/>
      <c r="EM218" s="30"/>
      <c r="EN218" s="30"/>
      <c r="EO218" s="30"/>
      <c r="EP218" s="30"/>
      <c r="EQ218" s="30"/>
      <c r="ER218" s="30"/>
      <c r="ES218" s="30"/>
      <c r="ET218" s="30"/>
      <c r="EU218" s="30"/>
      <c r="EV218" s="30"/>
      <c r="EW218" s="30"/>
      <c r="EX218" s="30"/>
      <c r="EY218" s="30"/>
      <c r="EZ218" s="30"/>
      <c r="FA218" s="30"/>
      <c r="FB218" s="30"/>
      <c r="FC218" s="30"/>
      <c r="FD218" s="30"/>
      <c r="FE218" s="30"/>
      <c r="FF218" s="30"/>
      <c r="FG218" s="30"/>
      <c r="FH218" s="30"/>
      <c r="FI218" s="30"/>
      <c r="FJ218" s="30"/>
      <c r="FK218" s="30"/>
      <c r="FL218" s="30"/>
      <c r="FM218" s="30"/>
      <c r="FN218" s="30"/>
      <c r="FO218" s="30"/>
      <c r="FP218" s="30"/>
      <c r="FQ218" s="30"/>
      <c r="FR218" s="30"/>
      <c r="FS218" s="30"/>
      <c r="FT218" s="30"/>
      <c r="FU218" s="30"/>
      <c r="FV218" s="30"/>
      <c r="FW218" s="30"/>
      <c r="FX218" s="30"/>
      <c r="FY218" s="30"/>
      <c r="FZ218" s="30"/>
      <c r="GA218" s="30"/>
      <c r="GB218" s="30"/>
      <c r="GC218" s="30"/>
      <c r="GD218" s="30"/>
      <c r="GE218" s="30"/>
      <c r="GF218" s="30"/>
      <c r="GG218" s="30"/>
      <c r="GH218" s="30"/>
      <c r="GI218" s="30"/>
      <c r="GJ218" s="30"/>
      <c r="GK218" s="30"/>
      <c r="GL218" s="30"/>
      <c r="GM218" s="30"/>
      <c r="GN218" s="30"/>
      <c r="GO218" s="30"/>
      <c r="GP218" s="30"/>
      <c r="GQ218" s="30"/>
      <c r="GR218" s="30"/>
      <c r="GS218" s="30"/>
      <c r="GT218" s="30"/>
      <c r="GU218" s="30"/>
      <c r="GV218" s="30"/>
      <c r="GW218" s="30"/>
      <c r="GX218" s="30"/>
      <c r="GY218" s="30"/>
      <c r="GZ218" s="30"/>
      <c r="HA218" s="30"/>
      <c r="HB218" s="30"/>
      <c r="HC218" s="30"/>
      <c r="HD218" s="30"/>
      <c r="HE218" s="30"/>
      <c r="HF218" s="30"/>
      <c r="HG218" s="30"/>
      <c r="HH218" s="30"/>
      <c r="HI218" s="30"/>
      <c r="HJ218" s="30"/>
      <c r="HK218" s="30"/>
      <c r="HL218" s="30"/>
      <c r="HM218" s="30"/>
      <c r="HN218" s="30"/>
      <c r="HO218" s="30"/>
      <c r="HP218" s="30"/>
      <c r="HQ218" s="30"/>
      <c r="HR218" s="30"/>
      <c r="HS218" s="30"/>
      <c r="HT218" s="30"/>
      <c r="HU218" s="30"/>
      <c r="HV218" s="30"/>
      <c r="HW218" s="30"/>
      <c r="HX218" s="30"/>
      <c r="HY218" s="30"/>
      <c r="HZ218" s="30"/>
      <c r="IA218" s="30"/>
      <c r="IB218" s="30"/>
      <c r="IC218" s="30"/>
      <c r="ID218" s="30"/>
      <c r="IE218" s="30"/>
      <c r="IF218" s="30"/>
      <c r="IG218" s="30"/>
      <c r="IH218" s="30"/>
      <c r="II218" s="30"/>
      <c r="IJ218" s="30"/>
      <c r="IK218" s="30"/>
      <c r="IL218" s="30"/>
      <c r="IM218" s="30"/>
      <c r="IN218" s="30"/>
      <c r="IO218" s="30"/>
      <c r="IP218" s="30"/>
      <c r="IQ218" s="30"/>
      <c r="IR218" s="30"/>
      <c r="IS218" s="30"/>
      <c r="IT218" s="30"/>
      <c r="IU218" s="30"/>
      <c r="IV218" s="30"/>
      <c r="IW218" s="30"/>
      <c r="IX218" s="30"/>
      <c r="IY218" s="30"/>
      <c r="IZ218" s="30"/>
      <c r="JA218" s="30"/>
      <c r="JB218" s="30"/>
      <c r="JC218" s="30"/>
      <c r="JD218" s="30"/>
      <c r="JE218" s="30"/>
      <c r="JF218" s="30"/>
      <c r="JG218" s="30"/>
      <c r="JH218" s="30"/>
      <c r="JI218" s="30"/>
      <c r="JJ218" s="30"/>
      <c r="JK218" s="30"/>
      <c r="JL218" s="30"/>
      <c r="JM218" s="30"/>
      <c r="JN218" s="30"/>
      <c r="JO218" s="30"/>
      <c r="JP218" s="30"/>
      <c r="JQ218" s="30"/>
      <c r="JR218" s="30"/>
      <c r="JS218" s="30"/>
      <c r="JT218" s="30"/>
      <c r="JU218" s="30"/>
      <c r="JV218" s="30"/>
      <c r="JW218" s="30"/>
      <c r="JX218" s="30"/>
      <c r="JY218" s="30"/>
      <c r="JZ218" s="30"/>
      <c r="KA218" s="30"/>
      <c r="KB218" s="30"/>
      <c r="KC218" s="30"/>
      <c r="KD218" s="30"/>
      <c r="KE218" s="30"/>
      <c r="KF218" s="30"/>
      <c r="KG218" s="30"/>
      <c r="KH218" s="30"/>
      <c r="KI218" s="30"/>
      <c r="KJ218" s="30"/>
      <c r="KK218" s="30"/>
      <c r="KL218" s="30"/>
      <c r="KM218" s="30"/>
      <c r="KN218" s="30"/>
      <c r="KO218" s="30"/>
      <c r="KP218" s="30"/>
      <c r="KQ218" s="30"/>
      <c r="KR218" s="30"/>
      <c r="KS218" s="30"/>
      <c r="KT218" s="30"/>
      <c r="KU218" s="30"/>
      <c r="KV218" s="30"/>
      <c r="KW218" s="30"/>
      <c r="KX218" s="30"/>
      <c r="KY218" s="30"/>
      <c r="KZ218" s="30"/>
      <c r="LA218" s="30"/>
      <c r="LB218" s="30"/>
      <c r="LC218" s="30"/>
      <c r="LD218" s="30"/>
      <c r="LE218" s="30"/>
      <c r="LF218" s="30"/>
      <c r="LG218" s="30"/>
      <c r="LH218" s="30"/>
      <c r="LI218" s="30"/>
      <c r="LJ218" s="30"/>
      <c r="LK218" s="30"/>
      <c r="LL218" s="30"/>
      <c r="LM218" s="30"/>
      <c r="LN218" s="30"/>
      <c r="LO218" s="30"/>
      <c r="LP218" s="30"/>
      <c r="LQ218" s="30"/>
      <c r="LR218" s="30"/>
      <c r="LS218" s="30"/>
      <c r="LT218" s="30"/>
      <c r="LU218" s="30"/>
      <c r="LV218" s="30"/>
      <c r="LW218" s="30"/>
      <c r="LX218" s="30"/>
      <c r="LY218" s="30"/>
      <c r="LZ218" s="30"/>
      <c r="MA218" s="30"/>
      <c r="MB218" s="30"/>
      <c r="MC218" s="30"/>
      <c r="MD218" s="30"/>
      <c r="ME218" s="30"/>
      <c r="MF218" s="30"/>
      <c r="MG218" s="30"/>
      <c r="MH218" s="30"/>
      <c r="MI218" s="30"/>
      <c r="MJ218" s="30"/>
      <c r="MK218" s="30"/>
      <c r="ML218" s="30"/>
      <c r="MM218" s="30"/>
      <c r="MN218" s="30"/>
      <c r="MO218" s="30"/>
      <c r="MP218" s="30"/>
      <c r="MQ218" s="30"/>
      <c r="MR218" s="30"/>
      <c r="MS218" s="30"/>
      <c r="MT218" s="30"/>
      <c r="MU218" s="30"/>
      <c r="MV218" s="30"/>
      <c r="MW218" s="30"/>
      <c r="MX218" s="30"/>
      <c r="MY218" s="30"/>
      <c r="MZ218" s="30"/>
      <c r="NA218" s="30"/>
      <c r="NB218" s="30"/>
      <c r="NC218" s="30"/>
      <c r="ND218" s="30"/>
      <c r="NE218" s="30"/>
      <c r="NF218" s="30"/>
      <c r="NG218" s="30"/>
      <c r="NH218" s="30"/>
      <c r="NI218" s="30"/>
      <c r="NJ218" s="30"/>
      <c r="NK218" s="30"/>
      <c r="NL218" s="30"/>
      <c r="NM218" s="30"/>
      <c r="NN218" s="30"/>
      <c r="NO218" s="30"/>
      <c r="NP218" s="30"/>
      <c r="NQ218" s="30"/>
      <c r="NR218" s="30"/>
      <c r="NS218" s="30"/>
      <c r="NT218" s="30"/>
      <c r="NU218" s="30"/>
      <c r="NV218" s="30"/>
      <c r="NW218" s="30"/>
      <c r="NX218" s="30"/>
      <c r="NY218" s="30"/>
      <c r="NZ218" s="30"/>
      <c r="OA218" s="30"/>
      <c r="OB218" s="30"/>
      <c r="OC218" s="30"/>
      <c r="OD218" s="30"/>
      <c r="OE218" s="30"/>
      <c r="OF218" s="30"/>
      <c r="OG218" s="30"/>
      <c r="OH218" s="30"/>
      <c r="OI218" s="30"/>
      <c r="OJ218" s="30"/>
      <c r="OK218" s="30"/>
      <c r="OL218" s="30"/>
      <c r="OM218" s="30"/>
      <c r="ON218" s="30"/>
      <c r="OO218" s="30"/>
      <c r="OP218" s="30"/>
      <c r="OQ218" s="30"/>
      <c r="OR218" s="30"/>
      <c r="OS218" s="30"/>
      <c r="OT218" s="30"/>
      <c r="OU218" s="30"/>
      <c r="OV218" s="30"/>
      <c r="OW218" s="30"/>
      <c r="OX218" s="30"/>
      <c r="OY218" s="30"/>
      <c r="OZ218" s="30"/>
      <c r="PA218" s="30"/>
      <c r="PB218" s="30"/>
      <c r="PC218" s="30"/>
      <c r="PD218" s="30"/>
      <c r="PE218" s="30"/>
      <c r="PF218" s="30"/>
      <c r="PG218" s="30"/>
      <c r="PH218" s="30"/>
      <c r="PI218" s="30"/>
      <c r="PJ218" s="30"/>
      <c r="PK218" s="30"/>
      <c r="PL218" s="30"/>
      <c r="PM218" s="30"/>
      <c r="PN218" s="30"/>
      <c r="PO218" s="30"/>
      <c r="PP218" s="30"/>
      <c r="PQ218" s="30"/>
      <c r="PR218" s="30"/>
      <c r="PS218" s="30"/>
      <c r="PT218" s="30"/>
      <c r="PU218" s="30"/>
      <c r="PV218" s="30"/>
      <c r="PW218" s="30"/>
      <c r="PX218" s="30"/>
      <c r="PY218" s="30"/>
      <c r="PZ218" s="30"/>
      <c r="QA218" s="30"/>
      <c r="QB218" s="30"/>
      <c r="QC218" s="30"/>
      <c r="QD218" s="30"/>
      <c r="QE218" s="30"/>
      <c r="QF218" s="30"/>
      <c r="QG218" s="30"/>
      <c r="QH218" s="30"/>
      <c r="QI218" s="30"/>
      <c r="QJ218" s="30"/>
      <c r="QK218" s="30"/>
      <c r="QL218" s="30"/>
      <c r="QM218" s="30"/>
      <c r="QN218" s="30"/>
      <c r="QO218" s="30"/>
      <c r="QP218" s="30"/>
      <c r="QQ218" s="30"/>
      <c r="QR218" s="30"/>
      <c r="QS218" s="30"/>
      <c r="QT218" s="30"/>
      <c r="QU218" s="30"/>
      <c r="QV218" s="30"/>
      <c r="QW218" s="30"/>
      <c r="QX218" s="30"/>
      <c r="QY218" s="30"/>
      <c r="QZ218" s="30"/>
      <c r="RA218" s="30"/>
      <c r="RB218" s="30"/>
      <c r="RC218" s="30"/>
      <c r="RD218" s="30"/>
      <c r="RE218" s="30"/>
      <c r="RF218" s="30"/>
      <c r="RG218" s="30"/>
      <c r="RH218" s="30"/>
      <c r="RI218" s="30"/>
      <c r="RJ218" s="30"/>
      <c r="RK218" s="30"/>
      <c r="RL218" s="30"/>
      <c r="RM218" s="30"/>
      <c r="RN218" s="30"/>
      <c r="RO218" s="30"/>
      <c r="RP218" s="30"/>
      <c r="RQ218" s="30"/>
      <c r="RR218" s="30"/>
      <c r="RS218" s="30"/>
      <c r="RT218" s="30"/>
      <c r="RU218" s="30"/>
      <c r="RV218" s="30"/>
      <c r="RW218" s="30"/>
      <c r="RX218" s="30"/>
      <c r="RY218" s="30"/>
      <c r="RZ218" s="30"/>
      <c r="SA218" s="30"/>
      <c r="SB218" s="30"/>
      <c r="SC218" s="30"/>
      <c r="SD218" s="30"/>
      <c r="SE218" s="30"/>
      <c r="SF218" s="30"/>
      <c r="SG218" s="30"/>
      <c r="SH218" s="30"/>
      <c r="SI218" s="30"/>
      <c r="SJ218" s="30"/>
      <c r="SK218" s="30"/>
      <c r="SL218" s="30"/>
      <c r="SM218" s="30"/>
      <c r="SN218" s="30"/>
      <c r="SO218" s="30"/>
      <c r="SP218" s="30"/>
      <c r="SQ218" s="30"/>
      <c r="SR218" s="30"/>
      <c r="SS218" s="30"/>
      <c r="ST218" s="30"/>
      <c r="SU218" s="30"/>
      <c r="SV218" s="30"/>
      <c r="SW218" s="30"/>
      <c r="SX218" s="30"/>
      <c r="SY218" s="30"/>
      <c r="SZ218" s="30"/>
      <c r="TA218" s="30"/>
      <c r="TB218" s="30"/>
      <c r="TC218" s="30"/>
      <c r="TD218" s="30"/>
      <c r="TE218" s="30"/>
      <c r="TF218" s="30"/>
      <c r="TG218" s="30"/>
      <c r="TH218" s="30"/>
      <c r="TI218" s="30"/>
      <c r="TJ218" s="30"/>
      <c r="TK218" s="30"/>
      <c r="TL218" s="30"/>
      <c r="TM218" s="30"/>
      <c r="TN218" s="30"/>
      <c r="TO218" s="30"/>
      <c r="TP218" s="30"/>
      <c r="TQ218" s="30"/>
      <c r="TR218" s="30"/>
      <c r="TS218" s="30"/>
      <c r="TT218" s="30"/>
      <c r="TU218" s="30"/>
      <c r="TV218" s="30"/>
      <c r="TW218" s="30"/>
      <c r="TX218" s="30"/>
      <c r="TY218" s="30"/>
      <c r="TZ218" s="30"/>
      <c r="UA218" s="30"/>
      <c r="UB218" s="30"/>
      <c r="UC218" s="30"/>
      <c r="UD218" s="30"/>
      <c r="UE218" s="30"/>
      <c r="UF218" s="30"/>
      <c r="UG218" s="30"/>
      <c r="UH218" s="30"/>
      <c r="UI218" s="30"/>
      <c r="UJ218" s="30"/>
      <c r="UK218" s="30"/>
      <c r="UL218" s="30"/>
      <c r="UM218" s="30"/>
      <c r="UN218" s="30"/>
      <c r="UO218" s="30"/>
      <c r="UP218" s="30"/>
      <c r="UQ218" s="30"/>
      <c r="UR218" s="30"/>
      <c r="US218" s="30"/>
      <c r="UT218" s="30"/>
      <c r="UU218" s="30"/>
      <c r="UV218" s="30"/>
      <c r="UW218" s="30"/>
      <c r="UX218" s="30"/>
      <c r="UY218" s="30"/>
      <c r="UZ218" s="30"/>
      <c r="VA218" s="30"/>
      <c r="VB218" s="30"/>
      <c r="VC218" s="30"/>
      <c r="VD218" s="30"/>
      <c r="VE218" s="30"/>
      <c r="VF218" s="30"/>
      <c r="VG218" s="30"/>
      <c r="VH218" s="30"/>
      <c r="VI218" s="30"/>
      <c r="VJ218" s="30"/>
      <c r="VK218" s="30"/>
      <c r="VL218" s="30"/>
      <c r="VM218" s="30"/>
      <c r="VN218" s="30"/>
      <c r="VO218" s="30"/>
      <c r="VP218" s="30"/>
      <c r="VQ218" s="30"/>
      <c r="VR218" s="30"/>
      <c r="VS218" s="30"/>
      <c r="VT218" s="30"/>
      <c r="VU218" s="30"/>
      <c r="VV218" s="30"/>
      <c r="VW218" s="30"/>
      <c r="VX218" s="30"/>
      <c r="VY218" s="30"/>
      <c r="VZ218" s="30"/>
      <c r="WA218" s="30"/>
      <c r="WB218" s="30"/>
      <c r="WC218" s="30"/>
      <c r="WD218" s="30"/>
      <c r="WE218" s="30"/>
      <c r="WF218" s="30"/>
      <c r="WG218" s="30"/>
      <c r="WH218" s="30"/>
      <c r="WI218" s="30"/>
      <c r="WJ218" s="30"/>
      <c r="WK218" s="30"/>
      <c r="WL218" s="30"/>
      <c r="WM218" s="30"/>
      <c r="WN218" s="30"/>
      <c r="WO218" s="30"/>
      <c r="WP218" s="30"/>
      <c r="WQ218" s="30"/>
      <c r="WR218" s="30"/>
      <c r="WS218" s="30"/>
      <c r="WT218" s="30"/>
      <c r="WU218" s="30"/>
      <c r="WV218" s="30"/>
      <c r="WW218" s="30"/>
      <c r="WX218" s="30"/>
      <c r="WY218" s="30"/>
      <c r="WZ218" s="30"/>
      <c r="XA218" s="30"/>
      <c r="XB218" s="30"/>
      <c r="XC218" s="30"/>
      <c r="XD218" s="30"/>
      <c r="XE218" s="30"/>
      <c r="XF218" s="30"/>
      <c r="XG218" s="30"/>
      <c r="XH218" s="30"/>
      <c r="XI218" s="30"/>
      <c r="XJ218" s="30"/>
      <c r="XK218" s="30"/>
      <c r="XL218" s="30"/>
      <c r="XM218" s="30"/>
      <c r="XN218" s="30"/>
      <c r="XO218" s="30"/>
      <c r="XP218" s="30"/>
      <c r="XQ218" s="30"/>
      <c r="XR218" s="30"/>
      <c r="XS218" s="30"/>
      <c r="XT218" s="30"/>
      <c r="XU218" s="30"/>
      <c r="XV218" s="30"/>
      <c r="XW218" s="30"/>
      <c r="XX218" s="30"/>
      <c r="XY218" s="30"/>
      <c r="XZ218" s="30"/>
      <c r="YA218" s="30"/>
      <c r="YB218" s="30"/>
      <c r="YC218" s="30"/>
      <c r="YD218" s="30"/>
      <c r="YE218" s="30"/>
      <c r="YF218" s="30"/>
      <c r="YG218" s="30"/>
      <c r="YH218" s="30"/>
      <c r="YI218" s="30"/>
      <c r="YJ218" s="30"/>
      <c r="YK218" s="30"/>
      <c r="YL218" s="30"/>
      <c r="YM218" s="30"/>
      <c r="YN218" s="30"/>
      <c r="YO218" s="30"/>
      <c r="YP218" s="30"/>
      <c r="YQ218" s="30"/>
      <c r="YR218" s="30"/>
      <c r="YS218" s="30"/>
      <c r="YT218" s="30"/>
      <c r="YU218" s="30"/>
      <c r="YV218" s="30"/>
      <c r="YW218" s="30"/>
      <c r="YX218" s="30"/>
      <c r="YY218" s="30"/>
      <c r="YZ218" s="30"/>
      <c r="ZA218" s="30"/>
      <c r="ZB218" s="30"/>
      <c r="ZC218" s="30"/>
      <c r="ZD218" s="30"/>
      <c r="ZE218" s="30"/>
    </row>
    <row r="219" spans="1:681" x14ac:dyDescent="0.2">
      <c r="A219" s="90" t="s">
        <v>788</v>
      </c>
      <c r="B219" s="90"/>
      <c r="C219" s="90">
        <v>135753</v>
      </c>
      <c r="D219" s="39">
        <v>1</v>
      </c>
      <c r="E219" s="39" t="s">
        <v>411</v>
      </c>
      <c r="F219" s="79"/>
      <c r="G219" s="79">
        <f t="shared" si="25"/>
        <v>365</v>
      </c>
      <c r="H219" s="38" t="s">
        <v>563</v>
      </c>
      <c r="I219" s="38" t="s">
        <v>230</v>
      </c>
      <c r="J219" s="98"/>
      <c r="K219" s="1" t="s">
        <v>485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AY219" s="30"/>
      <c r="AZ219" s="30"/>
      <c r="BA219" s="30"/>
      <c r="BB219" s="30"/>
      <c r="BC219" s="30"/>
      <c r="BD219" s="30"/>
      <c r="BE219" s="30"/>
      <c r="BF219" s="30"/>
      <c r="BG219" s="30"/>
      <c r="BH219" s="30"/>
      <c r="BI219" s="30"/>
      <c r="BJ219" s="30"/>
      <c r="BK219" s="30"/>
      <c r="BL219" s="30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  <c r="DB219" s="30"/>
      <c r="DC219" s="30"/>
      <c r="DD219" s="30"/>
      <c r="DE219" s="30"/>
      <c r="DF219" s="30"/>
      <c r="DG219" s="30"/>
      <c r="DH219" s="30"/>
      <c r="DI219" s="30"/>
      <c r="DJ219" s="30"/>
      <c r="DK219" s="30"/>
      <c r="DL219" s="30"/>
      <c r="DM219" s="30"/>
      <c r="DN219" s="30"/>
      <c r="DO219" s="30"/>
      <c r="DP219" s="30"/>
      <c r="DQ219" s="30"/>
      <c r="DR219" s="30"/>
      <c r="DS219" s="30"/>
      <c r="DT219" s="30"/>
      <c r="DU219" s="30"/>
      <c r="DV219" s="30"/>
      <c r="DW219" s="30"/>
      <c r="DX219" s="30"/>
      <c r="DY219" s="30"/>
      <c r="DZ219" s="30"/>
      <c r="EA219" s="30"/>
      <c r="EB219" s="30"/>
      <c r="EC219" s="30"/>
      <c r="ED219" s="30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  <c r="FA219" s="30"/>
      <c r="FB219" s="30"/>
      <c r="FC219" s="30"/>
      <c r="FD219" s="30"/>
      <c r="FE219" s="30"/>
      <c r="FF219" s="30"/>
      <c r="FG219" s="30"/>
      <c r="FH219" s="30"/>
      <c r="FI219" s="30"/>
      <c r="FJ219" s="30"/>
      <c r="FK219" s="30"/>
      <c r="FL219" s="30"/>
      <c r="FM219" s="30"/>
      <c r="FN219" s="30"/>
      <c r="FO219" s="30"/>
      <c r="FP219" s="30"/>
      <c r="FQ219" s="30"/>
      <c r="FR219" s="30"/>
      <c r="FS219" s="30"/>
      <c r="FT219" s="30"/>
      <c r="FU219" s="30"/>
      <c r="FV219" s="30"/>
      <c r="FW219" s="30"/>
      <c r="FX219" s="30"/>
      <c r="FY219" s="30"/>
      <c r="FZ219" s="30"/>
      <c r="GA219" s="30"/>
      <c r="GB219" s="30"/>
      <c r="GC219" s="30"/>
      <c r="GD219" s="30"/>
      <c r="GE219" s="30"/>
      <c r="GF219" s="30"/>
      <c r="GG219" s="30"/>
      <c r="GH219" s="30"/>
      <c r="GI219" s="30"/>
      <c r="GJ219" s="30"/>
      <c r="GK219" s="30"/>
      <c r="GL219" s="30"/>
      <c r="GM219" s="30"/>
      <c r="GN219" s="30"/>
      <c r="GO219" s="30"/>
      <c r="GP219" s="30"/>
      <c r="GQ219" s="30"/>
      <c r="GR219" s="30"/>
      <c r="GS219" s="30"/>
      <c r="GT219" s="30"/>
      <c r="GU219" s="30"/>
      <c r="GV219" s="30"/>
      <c r="GW219" s="30"/>
      <c r="GX219" s="30"/>
      <c r="GY219" s="30"/>
      <c r="GZ219" s="30"/>
      <c r="HA219" s="30"/>
      <c r="HB219" s="30"/>
      <c r="HC219" s="30"/>
      <c r="HD219" s="30"/>
      <c r="HE219" s="30"/>
      <c r="HF219" s="30"/>
      <c r="HG219" s="30"/>
      <c r="HH219" s="30"/>
      <c r="HI219" s="30"/>
      <c r="HJ219" s="30"/>
      <c r="HK219" s="30"/>
      <c r="HL219" s="30"/>
      <c r="HM219" s="30"/>
      <c r="HN219" s="30"/>
      <c r="HO219" s="30"/>
      <c r="HP219" s="30"/>
      <c r="HQ219" s="30"/>
      <c r="HR219" s="30"/>
      <c r="HS219" s="30"/>
      <c r="HT219" s="30"/>
      <c r="HU219" s="30"/>
      <c r="HV219" s="30"/>
      <c r="HW219" s="30"/>
      <c r="HX219" s="30"/>
      <c r="HY219" s="30"/>
      <c r="HZ219" s="30"/>
      <c r="IA219" s="30"/>
      <c r="IB219" s="30"/>
      <c r="IC219" s="30"/>
      <c r="ID219" s="30"/>
      <c r="IE219" s="30"/>
      <c r="IF219" s="30"/>
      <c r="IG219" s="30"/>
      <c r="IH219" s="30"/>
      <c r="II219" s="30"/>
      <c r="IJ219" s="30"/>
      <c r="IK219" s="30"/>
      <c r="IL219" s="30"/>
      <c r="IM219" s="30"/>
      <c r="IN219" s="30"/>
      <c r="IO219" s="30"/>
      <c r="IP219" s="30"/>
      <c r="IQ219" s="30"/>
      <c r="IR219" s="30"/>
      <c r="IS219" s="30"/>
      <c r="IT219" s="30"/>
      <c r="IU219" s="30"/>
      <c r="IV219" s="30"/>
      <c r="IW219" s="30"/>
      <c r="IX219" s="30"/>
      <c r="IY219" s="30"/>
      <c r="IZ219" s="30"/>
      <c r="JA219" s="30"/>
      <c r="JB219" s="30"/>
      <c r="JC219" s="30"/>
      <c r="JD219" s="30"/>
      <c r="JE219" s="30"/>
      <c r="JF219" s="30"/>
      <c r="JG219" s="30"/>
      <c r="JH219" s="30"/>
      <c r="JI219" s="30"/>
      <c r="JJ219" s="30"/>
      <c r="JK219" s="30"/>
      <c r="JL219" s="30"/>
      <c r="JM219" s="30"/>
      <c r="JN219" s="30"/>
      <c r="JO219" s="30"/>
      <c r="JP219" s="30"/>
      <c r="JQ219" s="30"/>
      <c r="JR219" s="30"/>
      <c r="JS219" s="30"/>
      <c r="JT219" s="30"/>
      <c r="JU219" s="30"/>
      <c r="JV219" s="30"/>
      <c r="JW219" s="30"/>
      <c r="JX219" s="30"/>
      <c r="JY219" s="30"/>
      <c r="JZ219" s="30"/>
      <c r="KA219" s="30"/>
      <c r="KB219" s="30"/>
      <c r="KC219" s="30"/>
      <c r="KD219" s="30"/>
      <c r="KE219" s="30"/>
      <c r="KF219" s="30"/>
      <c r="KG219" s="30"/>
      <c r="KH219" s="30"/>
      <c r="KI219" s="30"/>
      <c r="KJ219" s="30"/>
      <c r="KK219" s="30"/>
      <c r="KL219" s="30"/>
      <c r="KM219" s="30"/>
      <c r="KN219" s="30"/>
      <c r="KO219" s="30"/>
      <c r="KP219" s="30"/>
      <c r="KQ219" s="30"/>
      <c r="KR219" s="30"/>
      <c r="KS219" s="30"/>
      <c r="KT219" s="30"/>
      <c r="KU219" s="30"/>
      <c r="KV219" s="30"/>
      <c r="KW219" s="30"/>
      <c r="KX219" s="30"/>
      <c r="KY219" s="30"/>
      <c r="KZ219" s="30"/>
      <c r="LA219" s="30"/>
      <c r="LB219" s="30"/>
      <c r="LC219" s="30"/>
      <c r="LD219" s="30"/>
      <c r="LE219" s="30"/>
      <c r="LF219" s="30"/>
      <c r="LG219" s="30"/>
      <c r="LH219" s="30"/>
      <c r="LI219" s="30"/>
      <c r="LJ219" s="30"/>
      <c r="LK219" s="30"/>
      <c r="LL219" s="30"/>
      <c r="LM219" s="30"/>
      <c r="LN219" s="30"/>
      <c r="LO219" s="30"/>
      <c r="LP219" s="30"/>
      <c r="LQ219" s="30"/>
      <c r="LR219" s="30"/>
      <c r="LS219" s="30"/>
      <c r="LT219" s="30"/>
      <c r="LU219" s="30"/>
      <c r="LV219" s="30"/>
      <c r="LW219" s="30"/>
      <c r="LX219" s="30"/>
      <c r="LY219" s="30"/>
      <c r="LZ219" s="30"/>
      <c r="MA219" s="30"/>
      <c r="MB219" s="30"/>
      <c r="MC219" s="30"/>
      <c r="MD219" s="30"/>
      <c r="ME219" s="30"/>
      <c r="MF219" s="30"/>
      <c r="MG219" s="30"/>
      <c r="MH219" s="30"/>
      <c r="MI219" s="30"/>
      <c r="MJ219" s="30"/>
      <c r="MK219" s="30"/>
      <c r="ML219" s="30"/>
      <c r="MM219" s="30"/>
      <c r="MN219" s="30"/>
      <c r="MO219" s="30"/>
      <c r="MP219" s="30"/>
      <c r="MQ219" s="30"/>
      <c r="MR219" s="30"/>
      <c r="MS219" s="30"/>
      <c r="MT219" s="30"/>
      <c r="MU219" s="30"/>
      <c r="MV219" s="30"/>
      <c r="MW219" s="30"/>
      <c r="MX219" s="30"/>
      <c r="MY219" s="30"/>
      <c r="MZ219" s="30"/>
      <c r="NA219" s="30"/>
      <c r="NB219" s="30"/>
      <c r="NC219" s="30"/>
      <c r="ND219" s="30"/>
      <c r="NE219" s="30"/>
      <c r="NF219" s="30"/>
      <c r="NG219" s="30"/>
      <c r="NH219" s="30"/>
      <c r="NI219" s="30"/>
      <c r="NJ219" s="30"/>
      <c r="NK219" s="30"/>
      <c r="NL219" s="30"/>
      <c r="NM219" s="30"/>
      <c r="NN219" s="30"/>
      <c r="NO219" s="30"/>
      <c r="NP219" s="30"/>
      <c r="NQ219" s="30"/>
      <c r="NR219" s="30"/>
      <c r="NS219" s="30"/>
      <c r="NT219" s="30"/>
      <c r="NU219" s="30"/>
      <c r="NV219" s="30"/>
      <c r="NW219" s="30"/>
      <c r="NX219" s="30"/>
      <c r="NY219" s="30"/>
      <c r="NZ219" s="30"/>
      <c r="OA219" s="30"/>
      <c r="OB219" s="30"/>
      <c r="OC219" s="30"/>
      <c r="OD219" s="30"/>
      <c r="OE219" s="30"/>
      <c r="OF219" s="30"/>
      <c r="OG219" s="30"/>
      <c r="OH219" s="30"/>
      <c r="OI219" s="30"/>
      <c r="OJ219" s="30"/>
      <c r="OK219" s="30"/>
      <c r="OL219" s="30"/>
      <c r="OM219" s="30"/>
      <c r="ON219" s="30"/>
      <c r="OO219" s="30"/>
      <c r="OP219" s="30"/>
      <c r="OQ219" s="30"/>
      <c r="OR219" s="30"/>
      <c r="OS219" s="30"/>
      <c r="OT219" s="30"/>
      <c r="OU219" s="30"/>
      <c r="OV219" s="30"/>
      <c r="OW219" s="30"/>
      <c r="OX219" s="30"/>
      <c r="OY219" s="30"/>
      <c r="OZ219" s="30"/>
      <c r="PA219" s="30"/>
      <c r="PB219" s="30"/>
      <c r="PC219" s="30"/>
      <c r="PD219" s="30"/>
      <c r="PE219" s="30"/>
      <c r="PF219" s="30"/>
      <c r="PG219" s="30"/>
      <c r="PH219" s="30"/>
      <c r="PI219" s="30"/>
      <c r="PJ219" s="30"/>
      <c r="PK219" s="30"/>
      <c r="PL219" s="30"/>
      <c r="PM219" s="30"/>
      <c r="PN219" s="30"/>
      <c r="PO219" s="30"/>
      <c r="PP219" s="30"/>
      <c r="PQ219" s="30"/>
      <c r="PR219" s="30"/>
      <c r="PS219" s="30"/>
      <c r="PT219" s="30"/>
      <c r="PU219" s="30"/>
      <c r="PV219" s="30"/>
      <c r="PW219" s="30"/>
      <c r="PX219" s="30"/>
      <c r="PY219" s="30"/>
      <c r="PZ219" s="30"/>
      <c r="QA219" s="30"/>
      <c r="QB219" s="30"/>
      <c r="QC219" s="30"/>
      <c r="QD219" s="30"/>
      <c r="QE219" s="30"/>
      <c r="QF219" s="30"/>
      <c r="QG219" s="30"/>
      <c r="QH219" s="30"/>
      <c r="QI219" s="30"/>
      <c r="QJ219" s="30"/>
      <c r="QK219" s="30"/>
      <c r="QL219" s="30"/>
      <c r="QM219" s="30"/>
      <c r="QN219" s="30"/>
      <c r="QO219" s="30"/>
      <c r="QP219" s="30"/>
      <c r="QQ219" s="30"/>
      <c r="QR219" s="30"/>
      <c r="QS219" s="30"/>
      <c r="QT219" s="30"/>
      <c r="QU219" s="30"/>
      <c r="QV219" s="30"/>
      <c r="QW219" s="30"/>
      <c r="QX219" s="30"/>
      <c r="QY219" s="30"/>
      <c r="QZ219" s="30"/>
      <c r="RA219" s="30"/>
      <c r="RB219" s="30"/>
      <c r="RC219" s="30"/>
      <c r="RD219" s="30"/>
      <c r="RE219" s="30"/>
      <c r="RF219" s="30"/>
      <c r="RG219" s="30"/>
      <c r="RH219" s="30"/>
      <c r="RI219" s="30"/>
      <c r="RJ219" s="30"/>
      <c r="RK219" s="30"/>
      <c r="RL219" s="30"/>
      <c r="RM219" s="30"/>
      <c r="RN219" s="30"/>
      <c r="RO219" s="30"/>
      <c r="RP219" s="30"/>
      <c r="RQ219" s="30"/>
      <c r="RR219" s="30"/>
      <c r="RS219" s="30"/>
      <c r="RT219" s="30"/>
      <c r="RU219" s="30"/>
      <c r="RV219" s="30"/>
      <c r="RW219" s="30"/>
      <c r="RX219" s="30"/>
      <c r="RY219" s="30"/>
      <c r="RZ219" s="30"/>
      <c r="SA219" s="30"/>
      <c r="SB219" s="30"/>
      <c r="SC219" s="30"/>
      <c r="SD219" s="30"/>
      <c r="SE219" s="30"/>
      <c r="SF219" s="30"/>
      <c r="SG219" s="30"/>
      <c r="SH219" s="30"/>
      <c r="SI219" s="30"/>
      <c r="SJ219" s="30"/>
      <c r="SK219" s="30"/>
      <c r="SL219" s="30"/>
      <c r="SM219" s="30"/>
      <c r="SN219" s="30"/>
      <c r="SO219" s="30"/>
      <c r="SP219" s="30"/>
      <c r="SQ219" s="30"/>
      <c r="SR219" s="30"/>
      <c r="SS219" s="30"/>
      <c r="ST219" s="30"/>
      <c r="SU219" s="30"/>
      <c r="SV219" s="30"/>
      <c r="SW219" s="30"/>
      <c r="SX219" s="30"/>
      <c r="SY219" s="30"/>
      <c r="SZ219" s="30"/>
      <c r="TA219" s="30"/>
      <c r="TB219" s="30"/>
      <c r="TC219" s="30"/>
      <c r="TD219" s="30"/>
      <c r="TE219" s="30"/>
      <c r="TF219" s="30"/>
      <c r="TG219" s="30"/>
      <c r="TH219" s="30"/>
      <c r="TI219" s="30"/>
      <c r="TJ219" s="30"/>
      <c r="TK219" s="30"/>
      <c r="TL219" s="30"/>
      <c r="TM219" s="30"/>
      <c r="TN219" s="30"/>
      <c r="TO219" s="30"/>
      <c r="TP219" s="30"/>
      <c r="TQ219" s="30"/>
      <c r="TR219" s="30"/>
      <c r="TS219" s="30"/>
      <c r="TT219" s="30"/>
      <c r="TU219" s="30"/>
      <c r="TV219" s="30"/>
      <c r="TW219" s="30"/>
      <c r="TX219" s="30"/>
      <c r="TY219" s="30"/>
      <c r="TZ219" s="30"/>
      <c r="UA219" s="30"/>
      <c r="UB219" s="30"/>
      <c r="UC219" s="30"/>
      <c r="UD219" s="30"/>
      <c r="UE219" s="30"/>
      <c r="UF219" s="30"/>
      <c r="UG219" s="30"/>
      <c r="UH219" s="30"/>
      <c r="UI219" s="30"/>
      <c r="UJ219" s="30"/>
      <c r="UK219" s="30"/>
      <c r="UL219" s="30"/>
      <c r="UM219" s="30"/>
      <c r="UN219" s="30"/>
      <c r="UO219" s="30"/>
      <c r="UP219" s="30"/>
      <c r="UQ219" s="30"/>
      <c r="UR219" s="30"/>
      <c r="US219" s="30"/>
      <c r="UT219" s="30"/>
      <c r="UU219" s="30"/>
      <c r="UV219" s="30"/>
      <c r="UW219" s="30"/>
      <c r="UX219" s="30"/>
      <c r="UY219" s="30"/>
      <c r="UZ219" s="30"/>
      <c r="VA219" s="30"/>
      <c r="VB219" s="30"/>
      <c r="VC219" s="30"/>
      <c r="VD219" s="30"/>
      <c r="VE219" s="30"/>
      <c r="VF219" s="30"/>
      <c r="VG219" s="30"/>
      <c r="VH219" s="30"/>
      <c r="VI219" s="30"/>
      <c r="VJ219" s="30"/>
      <c r="VK219" s="30"/>
      <c r="VL219" s="30"/>
      <c r="VM219" s="30"/>
      <c r="VN219" s="30"/>
      <c r="VO219" s="30"/>
      <c r="VP219" s="30"/>
      <c r="VQ219" s="30"/>
      <c r="VR219" s="30"/>
      <c r="VS219" s="30"/>
      <c r="VT219" s="30"/>
      <c r="VU219" s="30"/>
      <c r="VV219" s="30"/>
      <c r="VW219" s="30"/>
      <c r="VX219" s="30"/>
      <c r="VY219" s="30"/>
      <c r="VZ219" s="30"/>
      <c r="WA219" s="30"/>
      <c r="WB219" s="30"/>
      <c r="WC219" s="30"/>
      <c r="WD219" s="30"/>
      <c r="WE219" s="30"/>
      <c r="WF219" s="30"/>
      <c r="WG219" s="30"/>
      <c r="WH219" s="30"/>
      <c r="WI219" s="30"/>
      <c r="WJ219" s="30"/>
      <c r="WK219" s="30"/>
      <c r="WL219" s="30"/>
      <c r="WM219" s="30"/>
      <c r="WN219" s="30"/>
      <c r="WO219" s="30"/>
      <c r="WP219" s="30"/>
      <c r="WQ219" s="30"/>
      <c r="WR219" s="30"/>
      <c r="WS219" s="30"/>
      <c r="WT219" s="30"/>
      <c r="WU219" s="30"/>
      <c r="WV219" s="30"/>
      <c r="WW219" s="30"/>
      <c r="WX219" s="30"/>
      <c r="WY219" s="30"/>
      <c r="WZ219" s="30"/>
      <c r="XA219" s="30"/>
      <c r="XB219" s="30"/>
      <c r="XC219" s="30"/>
      <c r="XD219" s="30"/>
      <c r="XE219" s="30"/>
      <c r="XF219" s="30"/>
      <c r="XG219" s="30"/>
      <c r="XH219" s="30"/>
      <c r="XI219" s="30"/>
      <c r="XJ219" s="30"/>
      <c r="XK219" s="30"/>
      <c r="XL219" s="30"/>
      <c r="XM219" s="30"/>
      <c r="XN219" s="30"/>
      <c r="XO219" s="30"/>
      <c r="XP219" s="30"/>
      <c r="XQ219" s="30"/>
      <c r="XR219" s="30"/>
      <c r="XS219" s="30"/>
      <c r="XT219" s="30"/>
      <c r="XU219" s="30"/>
      <c r="XV219" s="30"/>
      <c r="XW219" s="30"/>
      <c r="XX219" s="30"/>
      <c r="XY219" s="30"/>
      <c r="XZ219" s="30"/>
      <c r="YA219" s="30"/>
      <c r="YB219" s="30"/>
      <c r="YC219" s="30"/>
      <c r="YD219" s="30"/>
      <c r="YE219" s="30"/>
      <c r="YF219" s="30"/>
      <c r="YG219" s="30"/>
      <c r="YH219" s="30"/>
      <c r="YI219" s="30"/>
      <c r="YJ219" s="30"/>
      <c r="YK219" s="30"/>
      <c r="YL219" s="30"/>
      <c r="YM219" s="30"/>
      <c r="YN219" s="30"/>
      <c r="YO219" s="30"/>
      <c r="YP219" s="30"/>
      <c r="YQ219" s="30"/>
      <c r="YR219" s="30"/>
      <c r="YS219" s="30"/>
      <c r="YT219" s="30"/>
      <c r="YU219" s="30"/>
      <c r="YV219" s="30"/>
      <c r="YW219" s="30"/>
      <c r="YX219" s="30"/>
      <c r="YY219" s="30"/>
      <c r="YZ219" s="30"/>
      <c r="ZA219" s="30"/>
      <c r="ZB219" s="30"/>
      <c r="ZC219" s="30"/>
      <c r="ZD219" s="30"/>
      <c r="ZE219" s="30"/>
    </row>
    <row r="220" spans="1:681" x14ac:dyDescent="0.2">
      <c r="A220" s="90" t="s">
        <v>788</v>
      </c>
      <c r="B220" s="90"/>
      <c r="C220" s="90">
        <v>135754</v>
      </c>
      <c r="D220" s="39">
        <v>1</v>
      </c>
      <c r="E220" s="39" t="s">
        <v>411</v>
      </c>
      <c r="F220" s="79"/>
      <c r="G220" s="79">
        <f t="shared" si="25"/>
        <v>365</v>
      </c>
      <c r="H220" s="38" t="s">
        <v>563</v>
      </c>
      <c r="I220" s="38" t="s">
        <v>230</v>
      </c>
      <c r="J220" s="98"/>
      <c r="K220" s="1" t="s">
        <v>485</v>
      </c>
    </row>
    <row r="221" spans="1:681" x14ac:dyDescent="0.2">
      <c r="A221" s="90" t="s">
        <v>787</v>
      </c>
      <c r="B221" s="90" t="s">
        <v>605</v>
      </c>
      <c r="C221" s="90" t="s">
        <v>572</v>
      </c>
      <c r="D221" s="39">
        <v>1</v>
      </c>
      <c r="E221" s="39" t="s">
        <v>421</v>
      </c>
      <c r="F221" s="79">
        <v>42165</v>
      </c>
      <c r="G221" s="79">
        <f t="shared" si="25"/>
        <v>42530</v>
      </c>
      <c r="H221" s="125" t="s">
        <v>174</v>
      </c>
      <c r="I221" s="38"/>
      <c r="J221" s="116" t="s">
        <v>625</v>
      </c>
      <c r="K221" s="1" t="s">
        <v>490</v>
      </c>
    </row>
    <row r="222" spans="1:681" x14ac:dyDescent="0.2">
      <c r="A222" s="90" t="s">
        <v>787</v>
      </c>
      <c r="B222" s="90" t="s">
        <v>605</v>
      </c>
      <c r="C222" s="90" t="s">
        <v>573</v>
      </c>
      <c r="D222" s="39">
        <v>1</v>
      </c>
      <c r="E222" s="39" t="s">
        <v>421</v>
      </c>
      <c r="F222" s="79">
        <v>42166</v>
      </c>
      <c r="G222" s="79">
        <f t="shared" si="25"/>
        <v>42531</v>
      </c>
      <c r="H222" s="125" t="s">
        <v>174</v>
      </c>
      <c r="I222" s="38"/>
      <c r="J222" s="116" t="s">
        <v>625</v>
      </c>
      <c r="K222" s="1" t="s">
        <v>490</v>
      </c>
    </row>
    <row r="223" spans="1:681" x14ac:dyDescent="0.2">
      <c r="A223" s="90" t="s">
        <v>787</v>
      </c>
      <c r="B223" s="90" t="s">
        <v>605</v>
      </c>
      <c r="C223" s="90" t="s">
        <v>574</v>
      </c>
      <c r="D223" s="39">
        <v>1</v>
      </c>
      <c r="E223" s="39" t="s">
        <v>421</v>
      </c>
      <c r="F223" s="79">
        <v>42165</v>
      </c>
      <c r="G223" s="79">
        <f t="shared" si="25"/>
        <v>42530</v>
      </c>
      <c r="H223" s="125" t="s">
        <v>174</v>
      </c>
      <c r="I223" s="38"/>
      <c r="J223" s="116" t="s">
        <v>625</v>
      </c>
      <c r="K223" s="1" t="s">
        <v>490</v>
      </c>
    </row>
    <row r="224" spans="1:681" x14ac:dyDescent="0.2">
      <c r="A224" s="90" t="s">
        <v>787</v>
      </c>
      <c r="B224" s="90" t="s">
        <v>605</v>
      </c>
      <c r="C224" s="90" t="s">
        <v>575</v>
      </c>
      <c r="D224" s="39">
        <v>1</v>
      </c>
      <c r="E224" s="39" t="s">
        <v>421</v>
      </c>
      <c r="F224" s="79">
        <v>42166</v>
      </c>
      <c r="G224" s="79">
        <f t="shared" si="25"/>
        <v>42531</v>
      </c>
      <c r="H224" s="125" t="s">
        <v>174</v>
      </c>
      <c r="I224" s="38"/>
      <c r="J224" s="116" t="s">
        <v>625</v>
      </c>
      <c r="K224" s="1" t="s">
        <v>490</v>
      </c>
    </row>
    <row r="225" spans="1:11" x14ac:dyDescent="0.2">
      <c r="A225" s="90" t="s">
        <v>787</v>
      </c>
      <c r="B225" s="90" t="s">
        <v>605</v>
      </c>
      <c r="C225" s="90" t="s">
        <v>576</v>
      </c>
      <c r="D225" s="39">
        <v>1</v>
      </c>
      <c r="E225" s="39" t="s">
        <v>421</v>
      </c>
      <c r="F225" s="79">
        <v>42166</v>
      </c>
      <c r="G225" s="79">
        <f t="shared" si="25"/>
        <v>42531</v>
      </c>
      <c r="H225" s="125" t="s">
        <v>174</v>
      </c>
      <c r="I225" s="38"/>
      <c r="J225" s="116" t="s">
        <v>625</v>
      </c>
      <c r="K225" s="1" t="s">
        <v>490</v>
      </c>
    </row>
    <row r="226" spans="1:11" x14ac:dyDescent="0.2">
      <c r="A226" s="90" t="s">
        <v>579</v>
      </c>
      <c r="B226" s="90" t="s">
        <v>802</v>
      </c>
      <c r="C226" s="90" t="s">
        <v>578</v>
      </c>
      <c r="D226" s="39">
        <v>1</v>
      </c>
      <c r="E226" s="39" t="s">
        <v>561</v>
      </c>
      <c r="F226" s="79">
        <v>42173</v>
      </c>
      <c r="G226" s="79">
        <f t="shared" si="25"/>
        <v>42538</v>
      </c>
      <c r="H226" s="38" t="s">
        <v>712</v>
      </c>
      <c r="I226" s="38" t="s">
        <v>713</v>
      </c>
      <c r="J226" s="98"/>
      <c r="K226" s="1" t="s">
        <v>490</v>
      </c>
    </row>
    <row r="227" spans="1:11" x14ac:dyDescent="0.2">
      <c r="A227" s="90" t="s">
        <v>581</v>
      </c>
      <c r="B227" s="90" t="s">
        <v>804</v>
      </c>
      <c r="C227" s="90">
        <v>68037</v>
      </c>
      <c r="D227" s="39">
        <v>1</v>
      </c>
      <c r="E227" s="39" t="s">
        <v>411</v>
      </c>
      <c r="F227" s="79"/>
      <c r="G227" s="79"/>
      <c r="H227" s="38" t="s">
        <v>563</v>
      </c>
      <c r="I227" s="38"/>
      <c r="J227" s="98"/>
      <c r="K227" s="1" t="s">
        <v>485</v>
      </c>
    </row>
    <row r="228" spans="1:11" x14ac:dyDescent="0.2">
      <c r="A228" s="90" t="s">
        <v>107</v>
      </c>
      <c r="B228" s="90" t="s">
        <v>443</v>
      </c>
      <c r="C228" s="90" t="s">
        <v>103</v>
      </c>
      <c r="D228" s="39">
        <v>1</v>
      </c>
      <c r="E228" s="39" t="s">
        <v>411</v>
      </c>
      <c r="F228" s="79">
        <v>40800</v>
      </c>
      <c r="G228" s="79">
        <f t="shared" si="25"/>
        <v>41165</v>
      </c>
      <c r="H228" s="38" t="s">
        <v>563</v>
      </c>
      <c r="I228" s="38" t="s">
        <v>230</v>
      </c>
      <c r="J228" s="98"/>
      <c r="K228" s="1" t="s">
        <v>485</v>
      </c>
    </row>
    <row r="229" spans="1:11" x14ac:dyDescent="0.2">
      <c r="A229" s="90" t="s">
        <v>107</v>
      </c>
      <c r="B229" s="90" t="s">
        <v>443</v>
      </c>
      <c r="C229" s="90" t="s">
        <v>105</v>
      </c>
      <c r="D229" s="39">
        <v>1</v>
      </c>
      <c r="E229" s="39" t="s">
        <v>411</v>
      </c>
      <c r="F229" s="79"/>
      <c r="G229" s="79">
        <f t="shared" si="25"/>
        <v>365</v>
      </c>
      <c r="H229" s="38" t="s">
        <v>563</v>
      </c>
      <c r="I229" s="38" t="s">
        <v>230</v>
      </c>
      <c r="J229" s="98"/>
      <c r="K229" s="1" t="s">
        <v>485</v>
      </c>
    </row>
    <row r="230" spans="1:11" x14ac:dyDescent="0.2">
      <c r="A230" s="90" t="s">
        <v>107</v>
      </c>
      <c r="B230" s="90" t="s">
        <v>443</v>
      </c>
      <c r="C230" s="90" t="s">
        <v>106</v>
      </c>
      <c r="D230" s="39">
        <v>1</v>
      </c>
      <c r="E230" s="39" t="s">
        <v>411</v>
      </c>
      <c r="F230" s="79">
        <v>40800</v>
      </c>
      <c r="G230" s="79">
        <f t="shared" si="25"/>
        <v>41165</v>
      </c>
      <c r="H230" s="38" t="s">
        <v>563</v>
      </c>
      <c r="I230" s="38" t="s">
        <v>230</v>
      </c>
      <c r="J230" s="98"/>
      <c r="K230" s="1" t="s">
        <v>485</v>
      </c>
    </row>
    <row r="231" spans="1:11" x14ac:dyDescent="0.2">
      <c r="A231" s="90" t="s">
        <v>353</v>
      </c>
      <c r="B231" s="90" t="s">
        <v>443</v>
      </c>
      <c r="C231" s="90" t="s">
        <v>243</v>
      </c>
      <c r="D231" s="39">
        <v>1</v>
      </c>
      <c r="E231" s="39" t="s">
        <v>411</v>
      </c>
      <c r="F231" s="79"/>
      <c r="G231" s="79">
        <f t="shared" si="25"/>
        <v>365</v>
      </c>
      <c r="H231" s="38" t="s">
        <v>563</v>
      </c>
      <c r="I231" s="38" t="s">
        <v>230</v>
      </c>
      <c r="J231" s="98"/>
      <c r="K231" s="1" t="s">
        <v>485</v>
      </c>
    </row>
    <row r="232" spans="1:11" s="24" customFormat="1" x14ac:dyDescent="0.2">
      <c r="A232" s="90" t="s">
        <v>108</v>
      </c>
      <c r="B232" s="90" t="s">
        <v>443</v>
      </c>
      <c r="C232" s="90" t="s">
        <v>114</v>
      </c>
      <c r="D232" s="39">
        <v>1</v>
      </c>
      <c r="E232" s="39" t="s">
        <v>411</v>
      </c>
      <c r="F232" s="79">
        <v>39974</v>
      </c>
      <c r="G232" s="79">
        <f t="shared" si="25"/>
        <v>40339</v>
      </c>
      <c r="H232" s="38" t="s">
        <v>563</v>
      </c>
      <c r="I232" s="38" t="s">
        <v>230</v>
      </c>
      <c r="J232" s="98"/>
      <c r="K232" s="1" t="s">
        <v>485</v>
      </c>
    </row>
    <row r="233" spans="1:11" x14ac:dyDescent="0.2">
      <c r="A233" s="90" t="s">
        <v>108</v>
      </c>
      <c r="B233" s="90" t="s">
        <v>443</v>
      </c>
      <c r="C233" s="90" t="s">
        <v>112</v>
      </c>
      <c r="D233" s="39">
        <v>1</v>
      </c>
      <c r="E233" s="39" t="s">
        <v>411</v>
      </c>
      <c r="F233" s="79"/>
      <c r="G233" s="79">
        <f t="shared" si="25"/>
        <v>365</v>
      </c>
      <c r="H233" s="38" t="s">
        <v>565</v>
      </c>
      <c r="I233" s="38" t="s">
        <v>230</v>
      </c>
      <c r="J233" s="98"/>
      <c r="K233" s="1" t="s">
        <v>485</v>
      </c>
    </row>
    <row r="234" spans="1:11" x14ac:dyDescent="0.2">
      <c r="A234" s="90" t="s">
        <v>108</v>
      </c>
      <c r="B234" s="90" t="s">
        <v>443</v>
      </c>
      <c r="C234" s="90" t="s">
        <v>111</v>
      </c>
      <c r="D234" s="39">
        <v>1</v>
      </c>
      <c r="E234" s="39" t="s">
        <v>411</v>
      </c>
      <c r="F234" s="79">
        <v>40294</v>
      </c>
      <c r="G234" s="79">
        <f t="shared" si="25"/>
        <v>40659</v>
      </c>
      <c r="H234" s="38" t="s">
        <v>563</v>
      </c>
      <c r="I234" s="38" t="s">
        <v>230</v>
      </c>
      <c r="J234" s="98"/>
      <c r="K234" s="1" t="s">
        <v>485</v>
      </c>
    </row>
    <row r="235" spans="1:11" x14ac:dyDescent="0.2">
      <c r="A235" s="90" t="s">
        <v>108</v>
      </c>
      <c r="B235" s="90" t="s">
        <v>443</v>
      </c>
      <c r="C235" s="90" t="s">
        <v>113</v>
      </c>
      <c r="D235" s="39">
        <v>1</v>
      </c>
      <c r="E235" s="39" t="s">
        <v>411</v>
      </c>
      <c r="F235" s="79">
        <v>39974</v>
      </c>
      <c r="G235" s="79">
        <f t="shared" si="25"/>
        <v>40339</v>
      </c>
      <c r="H235" s="38" t="s">
        <v>563</v>
      </c>
      <c r="I235" s="38" t="s">
        <v>230</v>
      </c>
      <c r="J235" s="98"/>
      <c r="K235" s="1" t="s">
        <v>485</v>
      </c>
    </row>
    <row r="236" spans="1:11" x14ac:dyDescent="0.2">
      <c r="A236" s="90" t="s">
        <v>108</v>
      </c>
      <c r="B236" s="90" t="s">
        <v>443</v>
      </c>
      <c r="C236" s="90" t="s">
        <v>109</v>
      </c>
      <c r="D236" s="39">
        <v>1</v>
      </c>
      <c r="E236" s="39" t="s">
        <v>411</v>
      </c>
      <c r="F236" s="79">
        <v>40294</v>
      </c>
      <c r="G236" s="79">
        <f t="shared" si="25"/>
        <v>40659</v>
      </c>
      <c r="H236" s="38" t="s">
        <v>565</v>
      </c>
      <c r="I236" s="38" t="s">
        <v>230</v>
      </c>
      <c r="J236" s="98"/>
      <c r="K236" s="1" t="s">
        <v>485</v>
      </c>
    </row>
    <row r="237" spans="1:11" x14ac:dyDescent="0.2">
      <c r="A237" s="90" t="s">
        <v>108</v>
      </c>
      <c r="B237" s="90" t="s">
        <v>443</v>
      </c>
      <c r="C237" s="90" t="s">
        <v>110</v>
      </c>
      <c r="D237" s="39">
        <v>1</v>
      </c>
      <c r="E237" s="39" t="s">
        <v>411</v>
      </c>
      <c r="F237" s="79"/>
      <c r="G237" s="79">
        <f t="shared" si="25"/>
        <v>365</v>
      </c>
      <c r="H237" s="38" t="s">
        <v>563</v>
      </c>
      <c r="I237" s="38" t="s">
        <v>230</v>
      </c>
      <c r="J237" s="98"/>
      <c r="K237" s="1" t="s">
        <v>485</v>
      </c>
    </row>
    <row r="238" spans="1:11" x14ac:dyDescent="0.2">
      <c r="A238" s="90" t="s">
        <v>115</v>
      </c>
      <c r="B238" s="90" t="s">
        <v>443</v>
      </c>
      <c r="C238" s="90" t="s">
        <v>116</v>
      </c>
      <c r="D238" s="39">
        <v>1</v>
      </c>
      <c r="E238" s="39" t="s">
        <v>411</v>
      </c>
      <c r="F238" s="79">
        <v>39974</v>
      </c>
      <c r="G238" s="79">
        <f t="shared" si="25"/>
        <v>40339</v>
      </c>
      <c r="H238" s="38" t="s">
        <v>563</v>
      </c>
      <c r="I238" s="38" t="s">
        <v>412</v>
      </c>
      <c r="J238" s="98"/>
      <c r="K238" s="1" t="s">
        <v>485</v>
      </c>
    </row>
    <row r="239" spans="1:11" x14ac:dyDescent="0.2">
      <c r="A239" s="90" t="s">
        <v>117</v>
      </c>
      <c r="B239" s="90" t="s">
        <v>443</v>
      </c>
      <c r="C239" s="90" t="s">
        <v>118</v>
      </c>
      <c r="D239" s="39">
        <v>1</v>
      </c>
      <c r="E239" s="39" t="s">
        <v>411</v>
      </c>
      <c r="F239" s="79">
        <v>40183</v>
      </c>
      <c r="G239" s="79">
        <f t="shared" si="25"/>
        <v>40548</v>
      </c>
      <c r="H239" s="38" t="s">
        <v>563</v>
      </c>
      <c r="I239" s="38" t="s">
        <v>230</v>
      </c>
      <c r="J239" s="98"/>
      <c r="K239" s="1" t="s">
        <v>485</v>
      </c>
    </row>
    <row r="240" spans="1:11" x14ac:dyDescent="0.2">
      <c r="A240" s="90" t="s">
        <v>117</v>
      </c>
      <c r="B240" s="90" t="s">
        <v>443</v>
      </c>
      <c r="C240" s="90" t="s">
        <v>119</v>
      </c>
      <c r="D240" s="39">
        <v>1</v>
      </c>
      <c r="E240" s="39" t="s">
        <v>411</v>
      </c>
      <c r="F240" s="79">
        <v>40119</v>
      </c>
      <c r="G240" s="79">
        <f t="shared" si="25"/>
        <v>40484</v>
      </c>
      <c r="H240" s="38" t="s">
        <v>563</v>
      </c>
      <c r="I240" s="38" t="s">
        <v>230</v>
      </c>
      <c r="J240" s="98"/>
      <c r="K240" s="1" t="s">
        <v>485</v>
      </c>
    </row>
    <row r="241" spans="1:11" x14ac:dyDescent="0.2">
      <c r="A241" s="90" t="s">
        <v>117</v>
      </c>
      <c r="B241" s="90" t="s">
        <v>443</v>
      </c>
      <c r="C241" s="90" t="s">
        <v>120</v>
      </c>
      <c r="D241" s="39">
        <v>1</v>
      </c>
      <c r="E241" s="39" t="s">
        <v>411</v>
      </c>
      <c r="F241" s="79"/>
      <c r="G241" s="79">
        <f t="shared" si="25"/>
        <v>365</v>
      </c>
      <c r="H241" s="38" t="s">
        <v>563</v>
      </c>
      <c r="I241" s="38"/>
      <c r="J241" s="98"/>
      <c r="K241" s="1" t="s">
        <v>485</v>
      </c>
    </row>
    <row r="242" spans="1:11" x14ac:dyDescent="0.2">
      <c r="A242" s="90" t="s">
        <v>192</v>
      </c>
      <c r="B242" s="90" t="s">
        <v>443</v>
      </c>
      <c r="C242" s="90" t="s">
        <v>193</v>
      </c>
      <c r="D242" s="39">
        <v>1</v>
      </c>
      <c r="E242" s="39" t="s">
        <v>411</v>
      </c>
      <c r="F242" s="79">
        <v>41045</v>
      </c>
      <c r="G242" s="79">
        <f t="shared" si="25"/>
        <v>41410</v>
      </c>
      <c r="H242" s="38" t="s">
        <v>563</v>
      </c>
      <c r="I242" s="38" t="s">
        <v>230</v>
      </c>
      <c r="J242" s="98"/>
      <c r="K242" s="1" t="s">
        <v>485</v>
      </c>
    </row>
    <row r="243" spans="1:11" x14ac:dyDescent="0.2">
      <c r="A243" s="90" t="s">
        <v>192</v>
      </c>
      <c r="B243" s="90" t="s">
        <v>443</v>
      </c>
      <c r="C243" s="90" t="s">
        <v>194</v>
      </c>
      <c r="D243" s="39">
        <v>1</v>
      </c>
      <c r="E243" s="39" t="s">
        <v>411</v>
      </c>
      <c r="F243" s="79">
        <v>41045</v>
      </c>
      <c r="G243" s="79">
        <f t="shared" si="25"/>
        <v>41410</v>
      </c>
      <c r="H243" s="38" t="s">
        <v>563</v>
      </c>
      <c r="I243" s="38" t="s">
        <v>230</v>
      </c>
      <c r="J243" s="98"/>
      <c r="K243" s="1" t="s">
        <v>485</v>
      </c>
    </row>
    <row r="244" spans="1:11" x14ac:dyDescent="0.2">
      <c r="A244" s="90" t="s">
        <v>192</v>
      </c>
      <c r="B244" s="90" t="s">
        <v>443</v>
      </c>
      <c r="C244" s="90" t="s">
        <v>195</v>
      </c>
      <c r="D244" s="39">
        <v>1</v>
      </c>
      <c r="E244" s="39" t="s">
        <v>411</v>
      </c>
      <c r="F244" s="79">
        <v>41045</v>
      </c>
      <c r="G244" s="79">
        <f t="shared" si="25"/>
        <v>41410</v>
      </c>
      <c r="H244" s="38" t="s">
        <v>565</v>
      </c>
      <c r="I244" s="38" t="s">
        <v>230</v>
      </c>
      <c r="J244" s="98"/>
      <c r="K244" s="1" t="s">
        <v>485</v>
      </c>
    </row>
    <row r="245" spans="1:11" x14ac:dyDescent="0.2">
      <c r="A245" s="90" t="s">
        <v>192</v>
      </c>
      <c r="B245" s="90" t="s">
        <v>443</v>
      </c>
      <c r="C245" s="90" t="s">
        <v>204</v>
      </c>
      <c r="D245" s="39">
        <v>1</v>
      </c>
      <c r="E245" s="39" t="s">
        <v>411</v>
      </c>
      <c r="F245" s="79">
        <v>41045</v>
      </c>
      <c r="G245" s="79">
        <f t="shared" si="25"/>
        <v>41410</v>
      </c>
      <c r="H245" s="38" t="s">
        <v>563</v>
      </c>
      <c r="I245" s="38" t="s">
        <v>230</v>
      </c>
      <c r="J245" s="98"/>
      <c r="K245" s="1" t="s">
        <v>485</v>
      </c>
    </row>
    <row r="246" spans="1:11" x14ac:dyDescent="0.2">
      <c r="A246" s="90" t="s">
        <v>192</v>
      </c>
      <c r="B246" s="90" t="s">
        <v>443</v>
      </c>
      <c r="C246" s="90" t="s">
        <v>196</v>
      </c>
      <c r="D246" s="39">
        <v>1</v>
      </c>
      <c r="E246" s="39" t="s">
        <v>411</v>
      </c>
      <c r="F246" s="79">
        <v>41045</v>
      </c>
      <c r="G246" s="79">
        <f t="shared" si="25"/>
        <v>41410</v>
      </c>
      <c r="H246" s="38" t="s">
        <v>563</v>
      </c>
      <c r="I246" s="38" t="s">
        <v>230</v>
      </c>
      <c r="J246" s="98"/>
      <c r="K246" s="1" t="s">
        <v>485</v>
      </c>
    </row>
    <row r="247" spans="1:11" x14ac:dyDescent="0.2">
      <c r="A247" s="90" t="s">
        <v>192</v>
      </c>
      <c r="B247" s="90" t="s">
        <v>443</v>
      </c>
      <c r="C247" s="90" t="s">
        <v>197</v>
      </c>
      <c r="D247" s="39">
        <v>1</v>
      </c>
      <c r="E247" s="39" t="s">
        <v>411</v>
      </c>
      <c r="F247" s="79">
        <v>41044</v>
      </c>
      <c r="G247" s="79">
        <f t="shared" si="25"/>
        <v>41409</v>
      </c>
      <c r="H247" s="38" t="s">
        <v>563</v>
      </c>
      <c r="I247" s="38" t="s">
        <v>230</v>
      </c>
      <c r="J247" s="98"/>
      <c r="K247" s="1" t="s">
        <v>485</v>
      </c>
    </row>
    <row r="248" spans="1:11" x14ac:dyDescent="0.2">
      <c r="A248" s="90" t="s">
        <v>192</v>
      </c>
      <c r="B248" s="90" t="s">
        <v>443</v>
      </c>
      <c r="C248" s="90" t="s">
        <v>198</v>
      </c>
      <c r="D248" s="39">
        <v>1</v>
      </c>
      <c r="E248" s="39" t="s">
        <v>411</v>
      </c>
      <c r="F248" s="79">
        <v>41044</v>
      </c>
      <c r="G248" s="79">
        <f t="shared" si="25"/>
        <v>41409</v>
      </c>
      <c r="H248" s="38" t="s">
        <v>565</v>
      </c>
      <c r="I248" s="38" t="s">
        <v>230</v>
      </c>
      <c r="J248" s="98"/>
      <c r="K248" s="1" t="s">
        <v>485</v>
      </c>
    </row>
    <row r="249" spans="1:11" x14ac:dyDescent="0.2">
      <c r="A249" s="90" t="s">
        <v>192</v>
      </c>
      <c r="B249" s="90" t="s">
        <v>443</v>
      </c>
      <c r="C249" s="90" t="s">
        <v>199</v>
      </c>
      <c r="D249" s="39">
        <v>1</v>
      </c>
      <c r="E249" s="39" t="s">
        <v>411</v>
      </c>
      <c r="F249" s="79">
        <v>41044</v>
      </c>
      <c r="G249" s="79">
        <f t="shared" si="25"/>
        <v>41409</v>
      </c>
      <c r="H249" s="38" t="s">
        <v>565</v>
      </c>
      <c r="I249" s="38" t="s">
        <v>230</v>
      </c>
      <c r="J249" s="98"/>
      <c r="K249" s="1" t="s">
        <v>485</v>
      </c>
    </row>
    <row r="250" spans="1:11" x14ac:dyDescent="0.2">
      <c r="A250" s="90" t="s">
        <v>192</v>
      </c>
      <c r="B250" s="90" t="s">
        <v>443</v>
      </c>
      <c r="C250" s="90" t="s">
        <v>200</v>
      </c>
      <c r="D250" s="39">
        <v>1</v>
      </c>
      <c r="E250" s="39" t="s">
        <v>411</v>
      </c>
      <c r="F250" s="79">
        <v>41045</v>
      </c>
      <c r="G250" s="79">
        <f t="shared" si="25"/>
        <v>41410</v>
      </c>
      <c r="H250" s="38" t="s">
        <v>563</v>
      </c>
      <c r="I250" s="38" t="s">
        <v>230</v>
      </c>
      <c r="J250" s="98"/>
      <c r="K250" s="1" t="s">
        <v>485</v>
      </c>
    </row>
    <row r="251" spans="1:11" x14ac:dyDescent="0.2">
      <c r="A251" s="90" t="s">
        <v>192</v>
      </c>
      <c r="B251" s="90" t="s">
        <v>443</v>
      </c>
      <c r="C251" s="90" t="s">
        <v>201</v>
      </c>
      <c r="D251" s="39">
        <v>1</v>
      </c>
      <c r="E251" s="39" t="s">
        <v>411</v>
      </c>
      <c r="F251" s="79">
        <v>41046</v>
      </c>
      <c r="G251" s="79">
        <f t="shared" si="25"/>
        <v>41411</v>
      </c>
      <c r="H251" s="38" t="s">
        <v>563</v>
      </c>
      <c r="I251" s="38" t="s">
        <v>230</v>
      </c>
      <c r="J251" s="98"/>
      <c r="K251" s="1" t="s">
        <v>485</v>
      </c>
    </row>
    <row r="252" spans="1:11" x14ac:dyDescent="0.2">
      <c r="A252" s="90" t="s">
        <v>192</v>
      </c>
      <c r="B252" s="90" t="s">
        <v>443</v>
      </c>
      <c r="C252" s="90" t="s">
        <v>202</v>
      </c>
      <c r="D252" s="39">
        <v>1</v>
      </c>
      <c r="E252" s="39" t="s">
        <v>411</v>
      </c>
      <c r="F252" s="79">
        <v>41046</v>
      </c>
      <c r="G252" s="79">
        <f t="shared" si="25"/>
        <v>41411</v>
      </c>
      <c r="H252" s="38" t="s">
        <v>563</v>
      </c>
      <c r="I252" s="38" t="s">
        <v>230</v>
      </c>
      <c r="J252" s="98"/>
      <c r="K252" s="1" t="s">
        <v>485</v>
      </c>
    </row>
    <row r="253" spans="1:11" x14ac:dyDescent="0.2">
      <c r="A253" s="90" t="s">
        <v>192</v>
      </c>
      <c r="B253" s="90" t="s">
        <v>443</v>
      </c>
      <c r="C253" s="90" t="s">
        <v>203</v>
      </c>
      <c r="D253" s="39">
        <v>1</v>
      </c>
      <c r="E253" s="39" t="s">
        <v>411</v>
      </c>
      <c r="F253" s="79">
        <v>41046</v>
      </c>
      <c r="G253" s="79">
        <f t="shared" si="25"/>
        <v>41411</v>
      </c>
      <c r="H253" s="38" t="s">
        <v>563</v>
      </c>
      <c r="I253" s="38" t="s">
        <v>230</v>
      </c>
      <c r="J253" s="98"/>
      <c r="K253" s="1" t="s">
        <v>485</v>
      </c>
    </row>
    <row r="254" spans="1:11" x14ac:dyDescent="0.2">
      <c r="A254" s="90" t="s">
        <v>192</v>
      </c>
      <c r="B254" s="90" t="s">
        <v>443</v>
      </c>
      <c r="C254" s="90" t="s">
        <v>564</v>
      </c>
      <c r="D254" s="39">
        <v>1</v>
      </c>
      <c r="E254" s="39" t="s">
        <v>411</v>
      </c>
      <c r="F254" s="79"/>
      <c r="G254" s="79"/>
      <c r="H254" s="38" t="s">
        <v>563</v>
      </c>
      <c r="I254" s="38"/>
      <c r="J254" s="98"/>
      <c r="K254" s="1" t="s">
        <v>485</v>
      </c>
    </row>
    <row r="255" spans="1:11" x14ac:dyDescent="0.2">
      <c r="A255" s="90" t="s">
        <v>205</v>
      </c>
      <c r="B255" s="90" t="s">
        <v>443</v>
      </c>
      <c r="C255" s="90" t="s">
        <v>206</v>
      </c>
      <c r="D255" s="39">
        <v>1</v>
      </c>
      <c r="E255" s="39" t="s">
        <v>561</v>
      </c>
      <c r="F255" s="79">
        <v>41799</v>
      </c>
      <c r="G255" s="79">
        <f t="shared" si="25"/>
        <v>42164</v>
      </c>
      <c r="H255" s="38" t="s">
        <v>563</v>
      </c>
      <c r="I255" s="38" t="s">
        <v>230</v>
      </c>
      <c r="J255" s="98"/>
      <c r="K255" s="1" t="s">
        <v>485</v>
      </c>
    </row>
    <row r="256" spans="1:11" x14ac:dyDescent="0.2">
      <c r="A256" s="90" t="s">
        <v>205</v>
      </c>
      <c r="B256" s="90" t="s">
        <v>443</v>
      </c>
      <c r="C256" s="90" t="s">
        <v>207</v>
      </c>
      <c r="D256" s="39">
        <v>1</v>
      </c>
      <c r="E256" s="39" t="s">
        <v>472</v>
      </c>
      <c r="F256" s="79">
        <v>41128</v>
      </c>
      <c r="G256" s="79">
        <f t="shared" si="25"/>
        <v>41493</v>
      </c>
      <c r="H256" s="38" t="s">
        <v>444</v>
      </c>
      <c r="I256" s="38"/>
      <c r="J256" s="98"/>
      <c r="K256" s="1" t="s">
        <v>472</v>
      </c>
    </row>
    <row r="257" spans="1:11" x14ac:dyDescent="0.2">
      <c r="A257" s="90" t="s">
        <v>205</v>
      </c>
      <c r="B257" s="90" t="s">
        <v>443</v>
      </c>
      <c r="C257" s="90" t="s">
        <v>208</v>
      </c>
      <c r="D257" s="39">
        <v>1</v>
      </c>
      <c r="E257" s="39" t="s">
        <v>411</v>
      </c>
      <c r="F257" s="79"/>
      <c r="G257" s="79">
        <f t="shared" si="25"/>
        <v>365</v>
      </c>
      <c r="H257" s="38" t="s">
        <v>563</v>
      </c>
      <c r="I257" s="38" t="s">
        <v>230</v>
      </c>
      <c r="J257" s="98"/>
      <c r="K257" s="1" t="s">
        <v>485</v>
      </c>
    </row>
    <row r="258" spans="1:11" x14ac:dyDescent="0.2">
      <c r="A258" s="90" t="s">
        <v>589</v>
      </c>
      <c r="B258" s="90" t="s">
        <v>443</v>
      </c>
      <c r="C258" s="90" t="s">
        <v>209</v>
      </c>
      <c r="D258" s="39">
        <v>1</v>
      </c>
      <c r="E258" s="39" t="s">
        <v>421</v>
      </c>
      <c r="F258" s="79">
        <v>42233</v>
      </c>
      <c r="G258" s="79">
        <f t="shared" si="25"/>
        <v>42598</v>
      </c>
      <c r="H258" s="38" t="s">
        <v>444</v>
      </c>
      <c r="I258" s="38" t="s">
        <v>590</v>
      </c>
      <c r="J258" s="98" t="s">
        <v>435</v>
      </c>
      <c r="K258" s="1" t="s">
        <v>487</v>
      </c>
    </row>
    <row r="259" spans="1:11" x14ac:dyDescent="0.2">
      <c r="A259" s="90" t="s">
        <v>354</v>
      </c>
      <c r="B259" s="90" t="s">
        <v>443</v>
      </c>
      <c r="C259" s="90" t="s">
        <v>355</v>
      </c>
      <c r="D259" s="39">
        <v>1</v>
      </c>
      <c r="E259" s="39" t="s">
        <v>421</v>
      </c>
      <c r="F259" s="79">
        <v>42181</v>
      </c>
      <c r="G259" s="79">
        <f t="shared" si="25"/>
        <v>42546</v>
      </c>
      <c r="H259" s="125" t="s">
        <v>174</v>
      </c>
      <c r="I259" s="38" t="s">
        <v>803</v>
      </c>
      <c r="J259" s="116" t="s">
        <v>625</v>
      </c>
      <c r="K259" s="1" t="s">
        <v>490</v>
      </c>
    </row>
    <row r="260" spans="1:11" x14ac:dyDescent="0.2">
      <c r="A260" s="90" t="s">
        <v>354</v>
      </c>
      <c r="B260" s="90" t="s">
        <v>443</v>
      </c>
      <c r="C260" s="90" t="s">
        <v>233</v>
      </c>
      <c r="D260" s="39">
        <v>1</v>
      </c>
      <c r="E260" s="39" t="s">
        <v>421</v>
      </c>
      <c r="F260" s="79">
        <v>42181</v>
      </c>
      <c r="G260" s="79">
        <f t="shared" si="25"/>
        <v>42546</v>
      </c>
      <c r="H260" s="38" t="s">
        <v>418</v>
      </c>
      <c r="I260" s="38" t="s">
        <v>674</v>
      </c>
      <c r="J260" s="116" t="s">
        <v>625</v>
      </c>
      <c r="K260" s="1" t="s">
        <v>490</v>
      </c>
    </row>
    <row r="261" spans="1:11" x14ac:dyDescent="0.2">
      <c r="A261" s="90" t="s">
        <v>562</v>
      </c>
      <c r="B261" s="90" t="s">
        <v>443</v>
      </c>
      <c r="C261" s="90" t="s">
        <v>234</v>
      </c>
      <c r="D261" s="39">
        <v>1</v>
      </c>
      <c r="E261" s="39" t="s">
        <v>421</v>
      </c>
      <c r="F261" s="79">
        <v>42184</v>
      </c>
      <c r="G261" s="79">
        <f t="shared" si="25"/>
        <v>42549</v>
      </c>
      <c r="H261" s="38" t="s">
        <v>418</v>
      </c>
      <c r="I261" s="38" t="s">
        <v>674</v>
      </c>
      <c r="J261" s="116" t="s">
        <v>625</v>
      </c>
      <c r="K261" s="1" t="s">
        <v>490</v>
      </c>
    </row>
    <row r="262" spans="1:11" x14ac:dyDescent="0.2">
      <c r="A262" s="90" t="s">
        <v>354</v>
      </c>
      <c r="B262" s="90" t="s">
        <v>443</v>
      </c>
      <c r="C262" s="90" t="s">
        <v>235</v>
      </c>
      <c r="D262" s="39">
        <v>1</v>
      </c>
      <c r="E262" s="39" t="s">
        <v>421</v>
      </c>
      <c r="F262" s="79">
        <v>42184</v>
      </c>
      <c r="G262" s="79">
        <f t="shared" si="25"/>
        <v>42549</v>
      </c>
      <c r="H262" s="38" t="s">
        <v>418</v>
      </c>
      <c r="I262" s="38" t="s">
        <v>674</v>
      </c>
      <c r="J262" s="116" t="s">
        <v>625</v>
      </c>
      <c r="K262" s="1" t="s">
        <v>490</v>
      </c>
    </row>
    <row r="263" spans="1:11" x14ac:dyDescent="0.2">
      <c r="A263" s="90" t="s">
        <v>121</v>
      </c>
      <c r="B263" s="90"/>
      <c r="C263" s="90" t="s">
        <v>160</v>
      </c>
      <c r="D263" s="39">
        <v>1</v>
      </c>
      <c r="E263" s="39" t="s">
        <v>411</v>
      </c>
      <c r="F263" s="79">
        <v>40413</v>
      </c>
      <c r="G263" s="79">
        <f t="shared" si="25"/>
        <v>40778</v>
      </c>
      <c r="H263" s="38" t="s">
        <v>415</v>
      </c>
      <c r="I263" s="38" t="s">
        <v>416</v>
      </c>
      <c r="J263" s="98"/>
      <c r="K263" s="1" t="s">
        <v>485</v>
      </c>
    </row>
    <row r="264" spans="1:11" x14ac:dyDescent="0.2">
      <c r="A264" s="90" t="s">
        <v>121</v>
      </c>
      <c r="B264" s="90"/>
      <c r="C264" s="90" t="s">
        <v>122</v>
      </c>
      <c r="D264" s="39">
        <v>1</v>
      </c>
      <c r="E264" s="39" t="s">
        <v>411</v>
      </c>
      <c r="F264" s="79">
        <v>40997</v>
      </c>
      <c r="G264" s="79">
        <f t="shared" si="25"/>
        <v>41362</v>
      </c>
      <c r="H264" s="38" t="s">
        <v>413</v>
      </c>
      <c r="I264" s="38" t="s">
        <v>417</v>
      </c>
      <c r="J264" s="98"/>
      <c r="K264" s="1" t="s">
        <v>485</v>
      </c>
    </row>
    <row r="265" spans="1:11" x14ac:dyDescent="0.2">
      <c r="A265" s="90" t="s">
        <v>121</v>
      </c>
      <c r="B265" s="90"/>
      <c r="C265" s="90" t="s">
        <v>188</v>
      </c>
      <c r="D265" s="39">
        <v>1</v>
      </c>
      <c r="E265" s="39" t="s">
        <v>411</v>
      </c>
      <c r="F265" s="79"/>
      <c r="G265" s="79">
        <f t="shared" si="25"/>
        <v>365</v>
      </c>
      <c r="H265" s="38" t="s">
        <v>414</v>
      </c>
      <c r="I265" s="38" t="s">
        <v>230</v>
      </c>
      <c r="J265" s="98"/>
      <c r="K265" s="1" t="s">
        <v>485</v>
      </c>
    </row>
    <row r="266" spans="1:11" x14ac:dyDescent="0.2">
      <c r="A266" s="90" t="s">
        <v>121</v>
      </c>
      <c r="B266" s="90"/>
      <c r="C266" s="90" t="s">
        <v>189</v>
      </c>
      <c r="D266" s="39">
        <v>1</v>
      </c>
      <c r="E266" s="39" t="s">
        <v>411</v>
      </c>
      <c r="F266" s="79"/>
      <c r="G266" s="79">
        <f t="shared" si="25"/>
        <v>365</v>
      </c>
      <c r="H266" s="38" t="s">
        <v>414</v>
      </c>
      <c r="I266" s="38" t="s">
        <v>230</v>
      </c>
      <c r="J266" s="98"/>
      <c r="K266" s="1" t="s">
        <v>485</v>
      </c>
    </row>
    <row r="267" spans="1:11" x14ac:dyDescent="0.2">
      <c r="A267" s="90" t="s">
        <v>147</v>
      </c>
      <c r="B267" s="90"/>
      <c r="C267" s="90" t="s">
        <v>146</v>
      </c>
      <c r="D267" s="39">
        <v>1</v>
      </c>
      <c r="E267" s="39" t="s">
        <v>411</v>
      </c>
      <c r="F267" s="79"/>
      <c r="G267" s="79">
        <f t="shared" si="25"/>
        <v>365</v>
      </c>
      <c r="H267" s="38" t="s">
        <v>148</v>
      </c>
      <c r="I267" s="38"/>
      <c r="J267" s="98"/>
      <c r="K267" s="1" t="s">
        <v>485</v>
      </c>
    </row>
    <row r="268" spans="1:11" x14ac:dyDescent="0.2">
      <c r="A268" s="90" t="s">
        <v>466</v>
      </c>
      <c r="B268" s="90" t="s">
        <v>467</v>
      </c>
      <c r="C268" s="90" t="s">
        <v>468</v>
      </c>
      <c r="D268" s="39">
        <v>1</v>
      </c>
      <c r="E268" s="39" t="s">
        <v>421</v>
      </c>
      <c r="F268" s="79">
        <v>42321</v>
      </c>
      <c r="G268" s="79">
        <f t="shared" si="25"/>
        <v>42686</v>
      </c>
      <c r="H268" s="125" t="s">
        <v>174</v>
      </c>
      <c r="I268" s="38" t="s">
        <v>677</v>
      </c>
      <c r="J268" s="98" t="s">
        <v>424</v>
      </c>
      <c r="K268" s="1" t="s">
        <v>484</v>
      </c>
    </row>
    <row r="269" spans="1:11" x14ac:dyDescent="0.2">
      <c r="A269" s="90" t="s">
        <v>469</v>
      </c>
      <c r="B269" s="90" t="s">
        <v>467</v>
      </c>
      <c r="C269" s="90" t="s">
        <v>470</v>
      </c>
      <c r="D269" s="39">
        <v>1</v>
      </c>
      <c r="E269" s="39" t="s">
        <v>421</v>
      </c>
      <c r="F269" s="79">
        <v>42321</v>
      </c>
      <c r="G269" s="79">
        <f t="shared" si="25"/>
        <v>42686</v>
      </c>
      <c r="H269" s="125" t="s">
        <v>174</v>
      </c>
      <c r="I269" s="38" t="s">
        <v>677</v>
      </c>
      <c r="J269" s="98" t="s">
        <v>424</v>
      </c>
      <c r="K269" s="1" t="s">
        <v>484</v>
      </c>
    </row>
    <row r="270" spans="1:11" x14ac:dyDescent="0.2">
      <c r="A270" s="90" t="s">
        <v>619</v>
      </c>
      <c r="B270" s="90" t="s">
        <v>620</v>
      </c>
      <c r="C270" s="90">
        <v>34160</v>
      </c>
      <c r="D270" s="39">
        <v>1</v>
      </c>
      <c r="E270" s="39" t="s">
        <v>421</v>
      </c>
      <c r="F270" s="79">
        <v>42390</v>
      </c>
      <c r="G270" s="79">
        <f t="shared" ref="G270" si="27">F270+(D270*365)</f>
        <v>42755</v>
      </c>
      <c r="H270" s="125" t="s">
        <v>174</v>
      </c>
      <c r="I270" s="119"/>
      <c r="J270" s="63" t="s">
        <v>665</v>
      </c>
      <c r="K270" s="1" t="s">
        <v>484</v>
      </c>
    </row>
    <row r="271" spans="1:11" x14ac:dyDescent="0.2">
      <c r="A271" s="90" t="s">
        <v>498</v>
      </c>
      <c r="B271" s="90" t="s">
        <v>499</v>
      </c>
      <c r="C271" s="90">
        <v>220136</v>
      </c>
      <c r="D271" s="39">
        <v>1</v>
      </c>
      <c r="E271" s="39" t="s">
        <v>421</v>
      </c>
      <c r="F271" s="79">
        <v>42444</v>
      </c>
      <c r="G271" s="79">
        <f t="shared" si="25"/>
        <v>42809</v>
      </c>
      <c r="H271" s="125" t="s">
        <v>174</v>
      </c>
      <c r="I271" s="38"/>
      <c r="J271" s="63" t="s">
        <v>753</v>
      </c>
      <c r="K271" s="1" t="s">
        <v>484</v>
      </c>
    </row>
    <row r="272" spans="1:11" s="86" customFormat="1" ht="18" x14ac:dyDescent="0.2">
      <c r="A272" s="146" t="s">
        <v>419</v>
      </c>
      <c r="B272" s="147"/>
      <c r="C272" s="147"/>
      <c r="D272" s="147"/>
      <c r="E272" s="147"/>
      <c r="F272" s="147"/>
      <c r="G272" s="147"/>
      <c r="H272" s="147"/>
      <c r="I272" s="147"/>
      <c r="J272" s="147"/>
      <c r="K272" s="148"/>
    </row>
    <row r="273" spans="1:11" ht="15.75" x14ac:dyDescent="0.2">
      <c r="A273" s="81" t="s">
        <v>0</v>
      </c>
      <c r="B273" s="88"/>
      <c r="C273" s="82" t="s">
        <v>3</v>
      </c>
      <c r="D273" s="82" t="s">
        <v>76</v>
      </c>
      <c r="E273" s="82" t="s">
        <v>420</v>
      </c>
      <c r="F273" s="82" t="s">
        <v>410</v>
      </c>
      <c r="G273" s="83" t="s">
        <v>409</v>
      </c>
      <c r="H273" s="83" t="s">
        <v>15</v>
      </c>
      <c r="I273" s="83" t="s">
        <v>46</v>
      </c>
      <c r="J273" s="83" t="s">
        <v>627</v>
      </c>
      <c r="K273" s="99" t="s">
        <v>475</v>
      </c>
    </row>
    <row r="274" spans="1:11" x14ac:dyDescent="0.2">
      <c r="A274" s="90" t="s">
        <v>629</v>
      </c>
      <c r="B274" s="90" t="s">
        <v>55</v>
      </c>
      <c r="C274" s="90" t="s">
        <v>90</v>
      </c>
      <c r="D274" s="39">
        <v>2</v>
      </c>
      <c r="E274" s="39" t="s">
        <v>421</v>
      </c>
      <c r="F274" s="79">
        <v>42409</v>
      </c>
      <c r="G274" s="79">
        <f t="shared" ref="G274:G321" si="28">F274+(D274*365)</f>
        <v>43139</v>
      </c>
      <c r="H274" s="38" t="s">
        <v>437</v>
      </c>
      <c r="I274" s="38"/>
      <c r="J274" s="98" t="s">
        <v>628</v>
      </c>
      <c r="K274" s="1" t="s">
        <v>484</v>
      </c>
    </row>
    <row r="275" spans="1:11" x14ac:dyDescent="0.2">
      <c r="A275" s="90" t="s">
        <v>629</v>
      </c>
      <c r="B275" s="90" t="s">
        <v>55</v>
      </c>
      <c r="C275" s="90" t="s">
        <v>138</v>
      </c>
      <c r="D275" s="39">
        <v>2</v>
      </c>
      <c r="E275" s="39" t="s">
        <v>421</v>
      </c>
      <c r="F275" s="79">
        <v>42409</v>
      </c>
      <c r="G275" s="79">
        <f t="shared" si="28"/>
        <v>43139</v>
      </c>
      <c r="H275" s="38" t="s">
        <v>437</v>
      </c>
      <c r="I275" s="38"/>
      <c r="J275" s="98" t="s">
        <v>628</v>
      </c>
      <c r="K275" s="1" t="s">
        <v>484</v>
      </c>
    </row>
    <row r="276" spans="1:11" x14ac:dyDescent="0.2">
      <c r="A276" s="90" t="s">
        <v>629</v>
      </c>
      <c r="B276" s="90" t="s">
        <v>55</v>
      </c>
      <c r="C276" s="90" t="s">
        <v>139</v>
      </c>
      <c r="D276" s="39">
        <v>2</v>
      </c>
      <c r="E276" s="39" t="s">
        <v>421</v>
      </c>
      <c r="F276" s="79">
        <v>42409</v>
      </c>
      <c r="G276" s="79">
        <f t="shared" si="28"/>
        <v>43139</v>
      </c>
      <c r="H276" s="38" t="s">
        <v>437</v>
      </c>
      <c r="I276" s="38"/>
      <c r="J276" s="98" t="s">
        <v>628</v>
      </c>
      <c r="K276" s="1" t="s">
        <v>484</v>
      </c>
    </row>
    <row r="277" spans="1:11" x14ac:dyDescent="0.2">
      <c r="A277" s="90" t="s">
        <v>629</v>
      </c>
      <c r="B277" s="90" t="s">
        <v>55</v>
      </c>
      <c r="C277" s="90" t="s">
        <v>140</v>
      </c>
      <c r="D277" s="39">
        <v>2</v>
      </c>
      <c r="E277" s="39" t="s">
        <v>421</v>
      </c>
      <c r="F277" s="79">
        <v>42409</v>
      </c>
      <c r="G277" s="79">
        <f t="shared" si="28"/>
        <v>43139</v>
      </c>
      <c r="H277" s="38" t="s">
        <v>437</v>
      </c>
      <c r="I277" s="38"/>
      <c r="J277" s="98" t="s">
        <v>628</v>
      </c>
      <c r="K277" s="1" t="s">
        <v>484</v>
      </c>
    </row>
    <row r="278" spans="1:11" x14ac:dyDescent="0.2">
      <c r="A278" s="90" t="s">
        <v>709</v>
      </c>
      <c r="B278" s="90" t="s">
        <v>437</v>
      </c>
      <c r="C278" s="90">
        <v>162480</v>
      </c>
      <c r="D278" s="39">
        <v>1</v>
      </c>
      <c r="E278" s="39" t="s">
        <v>421</v>
      </c>
      <c r="F278" s="79">
        <v>42447</v>
      </c>
      <c r="G278" s="79">
        <f t="shared" si="28"/>
        <v>42812</v>
      </c>
      <c r="H278" s="38" t="s">
        <v>437</v>
      </c>
      <c r="I278" s="38"/>
      <c r="J278" s="98" t="s">
        <v>625</v>
      </c>
      <c r="K278" s="1" t="s">
        <v>484</v>
      </c>
    </row>
    <row r="279" spans="1:11" x14ac:dyDescent="0.2">
      <c r="A279" s="90" t="s">
        <v>54</v>
      </c>
      <c r="B279" s="90" t="s">
        <v>436</v>
      </c>
      <c r="C279" s="90" t="s">
        <v>170</v>
      </c>
      <c r="D279" s="39">
        <v>2</v>
      </c>
      <c r="E279" s="39" t="s">
        <v>421</v>
      </c>
      <c r="F279" s="79">
        <v>41961</v>
      </c>
      <c r="G279" s="79">
        <f t="shared" si="28"/>
        <v>42691</v>
      </c>
      <c r="H279" s="38" t="s">
        <v>436</v>
      </c>
      <c r="I279" s="38"/>
      <c r="J279" s="98"/>
      <c r="K279" s="1" t="s">
        <v>484</v>
      </c>
    </row>
    <row r="280" spans="1:11" x14ac:dyDescent="0.2">
      <c r="A280" s="90" t="s">
        <v>54</v>
      </c>
      <c r="B280" s="90" t="s">
        <v>436</v>
      </c>
      <c r="C280" s="90" t="s">
        <v>171</v>
      </c>
      <c r="D280" s="39">
        <v>2</v>
      </c>
      <c r="E280" s="39" t="s">
        <v>421</v>
      </c>
      <c r="F280" s="79">
        <v>41961</v>
      </c>
      <c r="G280" s="79">
        <f t="shared" si="28"/>
        <v>42691</v>
      </c>
      <c r="H280" s="38" t="s">
        <v>436</v>
      </c>
      <c r="I280" s="38"/>
      <c r="J280" s="98"/>
      <c r="K280" s="1" t="s">
        <v>484</v>
      </c>
    </row>
    <row r="281" spans="1:11" x14ac:dyDescent="0.2">
      <c r="A281" s="90" t="s">
        <v>54</v>
      </c>
      <c r="B281" s="90" t="s">
        <v>436</v>
      </c>
      <c r="C281" s="90" t="s">
        <v>172</v>
      </c>
      <c r="D281" s="39">
        <v>2</v>
      </c>
      <c r="E281" s="39" t="s">
        <v>421</v>
      </c>
      <c r="F281" s="79">
        <v>41961</v>
      </c>
      <c r="G281" s="79">
        <f t="shared" si="28"/>
        <v>42691</v>
      </c>
      <c r="H281" s="38" t="s">
        <v>436</v>
      </c>
      <c r="I281" s="38"/>
      <c r="J281" s="98"/>
      <c r="K281" s="1" t="s">
        <v>484</v>
      </c>
    </row>
    <row r="282" spans="1:11" x14ac:dyDescent="0.2">
      <c r="A282" s="90" t="s">
        <v>54</v>
      </c>
      <c r="B282" s="90" t="s">
        <v>436</v>
      </c>
      <c r="C282" s="90" t="s">
        <v>173</v>
      </c>
      <c r="D282" s="39">
        <v>2</v>
      </c>
      <c r="E282" s="39" t="s">
        <v>421</v>
      </c>
      <c r="F282" s="79">
        <v>41961</v>
      </c>
      <c r="G282" s="79">
        <f t="shared" si="28"/>
        <v>42691</v>
      </c>
      <c r="H282" s="38" t="s">
        <v>436</v>
      </c>
      <c r="I282" s="38"/>
      <c r="J282" s="98"/>
      <c r="K282" s="1" t="s">
        <v>484</v>
      </c>
    </row>
    <row r="283" spans="1:11" x14ac:dyDescent="0.2">
      <c r="A283" s="90" t="s">
        <v>708</v>
      </c>
      <c r="B283" s="90" t="s">
        <v>436</v>
      </c>
      <c r="C283" s="90">
        <v>162479</v>
      </c>
      <c r="D283" s="39">
        <v>1</v>
      </c>
      <c r="E283" s="39" t="s">
        <v>421</v>
      </c>
      <c r="F283" s="79">
        <v>42431</v>
      </c>
      <c r="G283" s="79">
        <f t="shared" si="28"/>
        <v>42796</v>
      </c>
      <c r="H283" s="38" t="s">
        <v>436</v>
      </c>
      <c r="I283" s="38"/>
      <c r="J283" s="98" t="s">
        <v>625</v>
      </c>
      <c r="K283" s="1" t="s">
        <v>484</v>
      </c>
    </row>
    <row r="284" spans="1:11" x14ac:dyDescent="0.2">
      <c r="A284" s="90" t="s">
        <v>463</v>
      </c>
      <c r="B284" s="90" t="s">
        <v>464</v>
      </c>
      <c r="C284" s="90" t="s">
        <v>215</v>
      </c>
      <c r="D284" s="39">
        <v>1</v>
      </c>
      <c r="E284" s="39" t="s">
        <v>421</v>
      </c>
      <c r="F284" s="79">
        <v>42276</v>
      </c>
      <c r="G284" s="79">
        <f t="shared" si="28"/>
        <v>42641</v>
      </c>
      <c r="H284" s="38" t="s">
        <v>210</v>
      </c>
      <c r="I284" s="38"/>
      <c r="J284" s="98"/>
      <c r="K284" s="1" t="s">
        <v>484</v>
      </c>
    </row>
    <row r="285" spans="1:11" x14ac:dyDescent="0.2">
      <c r="A285" s="90" t="s">
        <v>591</v>
      </c>
      <c r="B285" s="90" t="s">
        <v>464</v>
      </c>
      <c r="C285" s="90" t="s">
        <v>592</v>
      </c>
      <c r="D285" s="39">
        <v>1</v>
      </c>
      <c r="E285" s="39" t="s">
        <v>421</v>
      </c>
      <c r="F285" s="79">
        <v>42494</v>
      </c>
      <c r="G285" s="79">
        <f t="shared" si="28"/>
        <v>42859</v>
      </c>
      <c r="H285" s="38" t="s">
        <v>210</v>
      </c>
      <c r="I285" s="38"/>
      <c r="J285" s="98" t="s">
        <v>625</v>
      </c>
      <c r="K285" s="1" t="s">
        <v>484</v>
      </c>
    </row>
    <row r="286" spans="1:11" x14ac:dyDescent="0.2">
      <c r="A286" s="90" t="s">
        <v>41</v>
      </c>
      <c r="B286" s="90"/>
      <c r="C286" s="90" t="s">
        <v>161</v>
      </c>
      <c r="D286" s="39">
        <v>1</v>
      </c>
      <c r="E286" s="39" t="s">
        <v>421</v>
      </c>
      <c r="F286" s="79">
        <v>42212</v>
      </c>
      <c r="G286" s="79">
        <f t="shared" si="28"/>
        <v>42577</v>
      </c>
      <c r="H286" s="38" t="s">
        <v>210</v>
      </c>
      <c r="I286" s="38"/>
      <c r="J286" s="98"/>
      <c r="K286" s="1" t="s">
        <v>486</v>
      </c>
    </row>
    <row r="287" spans="1:11" x14ac:dyDescent="0.2">
      <c r="A287" s="90" t="s">
        <v>214</v>
      </c>
      <c r="B287" s="90"/>
      <c r="C287" s="90">
        <v>1310839</v>
      </c>
      <c r="D287" s="39">
        <v>1</v>
      </c>
      <c r="E287" s="39" t="s">
        <v>421</v>
      </c>
      <c r="F287" s="79">
        <v>42213</v>
      </c>
      <c r="G287" s="79">
        <f t="shared" si="28"/>
        <v>42578</v>
      </c>
      <c r="H287" s="38" t="s">
        <v>213</v>
      </c>
      <c r="I287" s="38"/>
      <c r="J287" s="98"/>
      <c r="K287" s="1" t="s">
        <v>486</v>
      </c>
    </row>
    <row r="288" spans="1:11" x14ac:dyDescent="0.2">
      <c r="A288" s="90" t="s">
        <v>734</v>
      </c>
      <c r="B288" s="90" t="s">
        <v>494</v>
      </c>
      <c r="C288" s="90">
        <v>3250</v>
      </c>
      <c r="D288" s="39">
        <v>1</v>
      </c>
      <c r="E288" s="39" t="s">
        <v>421</v>
      </c>
      <c r="F288" s="79">
        <v>42457</v>
      </c>
      <c r="G288" s="79">
        <f t="shared" si="28"/>
        <v>42822</v>
      </c>
      <c r="H288" s="125" t="s">
        <v>210</v>
      </c>
      <c r="I288" s="38"/>
      <c r="J288" s="98" t="s">
        <v>625</v>
      </c>
      <c r="K288" s="1" t="s">
        <v>484</v>
      </c>
    </row>
    <row r="289" spans="1:11" x14ac:dyDescent="0.2">
      <c r="A289" s="90" t="s">
        <v>761</v>
      </c>
      <c r="B289" s="90" t="s">
        <v>464</v>
      </c>
      <c r="C289" s="90" t="s">
        <v>465</v>
      </c>
      <c r="D289" s="39">
        <v>1</v>
      </c>
      <c r="E289" s="39" t="s">
        <v>421</v>
      </c>
      <c r="F289" s="79">
        <v>42830</v>
      </c>
      <c r="G289" s="79">
        <f t="shared" ref="G289:G295" si="29">F289+(D289*365)</f>
        <v>43195</v>
      </c>
      <c r="H289" s="125" t="s">
        <v>210</v>
      </c>
      <c r="I289" s="38" t="s">
        <v>760</v>
      </c>
      <c r="J289" s="98" t="s">
        <v>625</v>
      </c>
      <c r="K289" s="1" t="s">
        <v>484</v>
      </c>
    </row>
    <row r="290" spans="1:11" x14ac:dyDescent="0.2">
      <c r="A290" s="90" t="s">
        <v>559</v>
      </c>
      <c r="B290" s="90" t="s">
        <v>464</v>
      </c>
      <c r="C290" s="90" t="s">
        <v>560</v>
      </c>
      <c r="D290" s="39">
        <v>1</v>
      </c>
      <c r="E290" s="39" t="s">
        <v>421</v>
      </c>
      <c r="F290" s="79">
        <v>42403</v>
      </c>
      <c r="G290" s="79">
        <f t="shared" si="29"/>
        <v>42768</v>
      </c>
      <c r="H290" s="38" t="s">
        <v>210</v>
      </c>
      <c r="I290" s="38" t="s">
        <v>464</v>
      </c>
      <c r="J290" s="98" t="s">
        <v>625</v>
      </c>
      <c r="K290" s="1" t="s">
        <v>484</v>
      </c>
    </row>
    <row r="291" spans="1:11" x14ac:dyDescent="0.2">
      <c r="A291" s="90" t="s">
        <v>427</v>
      </c>
      <c r="B291" s="90" t="s">
        <v>735</v>
      </c>
      <c r="C291" s="90">
        <v>3232</v>
      </c>
      <c r="D291" s="39">
        <v>1</v>
      </c>
      <c r="E291" s="39" t="s">
        <v>421</v>
      </c>
      <c r="F291" s="79">
        <v>42459</v>
      </c>
      <c r="G291" s="79">
        <f t="shared" si="29"/>
        <v>42824</v>
      </c>
      <c r="H291" s="38" t="s">
        <v>210</v>
      </c>
      <c r="I291" s="38"/>
      <c r="J291" s="98" t="s">
        <v>625</v>
      </c>
      <c r="K291" s="1" t="s">
        <v>484</v>
      </c>
    </row>
    <row r="292" spans="1:11" x14ac:dyDescent="0.2">
      <c r="A292" s="90" t="s">
        <v>759</v>
      </c>
      <c r="B292" s="90" t="s">
        <v>735</v>
      </c>
      <c r="C292" s="90">
        <v>196</v>
      </c>
      <c r="D292" s="39">
        <v>1</v>
      </c>
      <c r="E292" s="39" t="s">
        <v>421</v>
      </c>
      <c r="F292" s="79">
        <v>42324</v>
      </c>
      <c r="G292" s="79">
        <f t="shared" si="29"/>
        <v>42689</v>
      </c>
      <c r="H292" s="38" t="s">
        <v>210</v>
      </c>
      <c r="I292" s="38"/>
      <c r="J292" s="98"/>
      <c r="K292" s="1" t="s">
        <v>484</v>
      </c>
    </row>
    <row r="293" spans="1:11" x14ac:dyDescent="0.2">
      <c r="A293" s="90" t="s">
        <v>758</v>
      </c>
      <c r="B293" s="90" t="s">
        <v>736</v>
      </c>
      <c r="C293" s="90">
        <v>3232</v>
      </c>
      <c r="D293" s="39">
        <v>1</v>
      </c>
      <c r="E293" s="39" t="s">
        <v>411</v>
      </c>
      <c r="F293" s="79">
        <v>41731</v>
      </c>
      <c r="G293" s="79">
        <f t="shared" si="29"/>
        <v>42096</v>
      </c>
      <c r="H293" s="38" t="s">
        <v>210</v>
      </c>
      <c r="I293" s="38" t="s">
        <v>513</v>
      </c>
      <c r="J293" s="98" t="s">
        <v>435</v>
      </c>
      <c r="K293" s="1" t="s">
        <v>485</v>
      </c>
    </row>
    <row r="294" spans="1:11" x14ac:dyDescent="0.2">
      <c r="A294" s="90" t="s">
        <v>601</v>
      </c>
      <c r="B294" s="90" t="s">
        <v>428</v>
      </c>
      <c r="C294" s="90" t="s">
        <v>602</v>
      </c>
      <c r="D294" s="39">
        <v>1</v>
      </c>
      <c r="E294" s="39" t="s">
        <v>421</v>
      </c>
      <c r="F294" s="79">
        <v>42150</v>
      </c>
      <c r="G294" s="79">
        <f t="shared" si="29"/>
        <v>42515</v>
      </c>
      <c r="H294" s="38" t="s">
        <v>765</v>
      </c>
      <c r="I294" s="38" t="s">
        <v>743</v>
      </c>
      <c r="J294" s="98"/>
      <c r="K294" s="1" t="s">
        <v>599</v>
      </c>
    </row>
    <row r="295" spans="1:11" x14ac:dyDescent="0.2">
      <c r="A295" s="90" t="s">
        <v>45</v>
      </c>
      <c r="B295" s="90"/>
      <c r="C295" s="90">
        <v>150054</v>
      </c>
      <c r="D295" s="39">
        <v>1</v>
      </c>
      <c r="E295" s="39" t="s">
        <v>421</v>
      </c>
      <c r="F295" s="79">
        <v>42173</v>
      </c>
      <c r="G295" s="79">
        <f t="shared" si="29"/>
        <v>42538</v>
      </c>
      <c r="H295" s="38" t="s">
        <v>444</v>
      </c>
      <c r="I295" s="38"/>
      <c r="J295" s="98"/>
      <c r="K295" s="1" t="s">
        <v>490</v>
      </c>
    </row>
    <row r="296" spans="1:11" x14ac:dyDescent="0.2">
      <c r="A296" s="90" t="s">
        <v>43</v>
      </c>
      <c r="B296" s="90"/>
      <c r="C296" s="90" t="s">
        <v>167</v>
      </c>
      <c r="D296" s="39">
        <v>1</v>
      </c>
      <c r="E296" s="39" t="s">
        <v>421</v>
      </c>
      <c r="F296" s="79">
        <v>42409</v>
      </c>
      <c r="G296" s="79">
        <f t="shared" si="28"/>
        <v>42774</v>
      </c>
      <c r="H296" s="125" t="s">
        <v>444</v>
      </c>
      <c r="I296" s="119"/>
      <c r="J296" s="116" t="s">
        <v>435</v>
      </c>
      <c r="K296" s="1" t="s">
        <v>484</v>
      </c>
    </row>
    <row r="297" spans="1:11" x14ac:dyDescent="0.2">
      <c r="A297" s="90" t="s">
        <v>42</v>
      </c>
      <c r="B297" s="90"/>
      <c r="C297" s="90">
        <v>255</v>
      </c>
      <c r="D297" s="39">
        <v>1</v>
      </c>
      <c r="E297" s="39" t="s">
        <v>421</v>
      </c>
      <c r="F297" s="79">
        <v>42213</v>
      </c>
      <c r="G297" s="79">
        <f t="shared" si="28"/>
        <v>42578</v>
      </c>
      <c r="H297" s="38" t="s">
        <v>210</v>
      </c>
      <c r="I297" s="38"/>
      <c r="J297" s="98"/>
      <c r="K297" s="1" t="s">
        <v>486</v>
      </c>
    </row>
    <row r="298" spans="1:11" x14ac:dyDescent="0.2">
      <c r="A298" s="90" t="s">
        <v>408</v>
      </c>
      <c r="B298" s="90"/>
      <c r="C298" s="90">
        <v>8471</v>
      </c>
      <c r="D298" s="39">
        <v>1</v>
      </c>
      <c r="E298" s="39" t="s">
        <v>421</v>
      </c>
      <c r="F298" s="79">
        <v>42213</v>
      </c>
      <c r="G298" s="79">
        <f t="shared" si="28"/>
        <v>42578</v>
      </c>
      <c r="H298" s="38" t="s">
        <v>210</v>
      </c>
      <c r="I298" s="38"/>
      <c r="J298" s="116" t="s">
        <v>435</v>
      </c>
      <c r="K298" s="1" t="s">
        <v>486</v>
      </c>
    </row>
    <row r="299" spans="1:11" x14ac:dyDescent="0.2">
      <c r="A299" s="90" t="s">
        <v>750</v>
      </c>
      <c r="B299" s="90" t="s">
        <v>737</v>
      </c>
      <c r="C299" s="90">
        <v>4486</v>
      </c>
      <c r="D299" s="39">
        <v>1</v>
      </c>
      <c r="E299" s="39" t="s">
        <v>488</v>
      </c>
      <c r="F299" s="79">
        <v>42283</v>
      </c>
      <c r="G299" s="79">
        <f t="shared" si="28"/>
        <v>42648</v>
      </c>
      <c r="H299" s="38" t="s">
        <v>740</v>
      </c>
      <c r="I299" s="38"/>
      <c r="J299" s="98" t="s">
        <v>625</v>
      </c>
      <c r="K299" s="1" t="s">
        <v>484</v>
      </c>
    </row>
    <row r="300" spans="1:11" x14ac:dyDescent="0.2">
      <c r="A300" s="90" t="s">
        <v>211</v>
      </c>
      <c r="B300" s="90" t="s">
        <v>738</v>
      </c>
      <c r="C300" s="90">
        <v>128</v>
      </c>
      <c r="D300" s="39">
        <v>1</v>
      </c>
      <c r="E300" s="39" t="s">
        <v>488</v>
      </c>
      <c r="F300" s="79">
        <v>42480</v>
      </c>
      <c r="G300" s="79">
        <f t="shared" si="28"/>
        <v>42845</v>
      </c>
      <c r="H300" s="38" t="s">
        <v>740</v>
      </c>
      <c r="I300" s="38"/>
      <c r="J300" s="98" t="s">
        <v>625</v>
      </c>
      <c r="K300" s="1" t="s">
        <v>484</v>
      </c>
    </row>
    <row r="301" spans="1:11" x14ac:dyDescent="0.2">
      <c r="A301" s="90" t="s">
        <v>364</v>
      </c>
      <c r="B301" s="90" t="s">
        <v>739</v>
      </c>
      <c r="C301" s="90">
        <v>462</v>
      </c>
      <c r="D301" s="39">
        <v>1</v>
      </c>
      <c r="E301" s="39" t="s">
        <v>488</v>
      </c>
      <c r="F301" s="79">
        <v>42284</v>
      </c>
      <c r="G301" s="79">
        <f t="shared" si="28"/>
        <v>42649</v>
      </c>
      <c r="H301" s="38" t="s">
        <v>740</v>
      </c>
      <c r="I301" s="38"/>
      <c r="J301" s="98" t="s">
        <v>625</v>
      </c>
      <c r="K301" s="1" t="s">
        <v>484</v>
      </c>
    </row>
    <row r="302" spans="1:11" x14ac:dyDescent="0.2">
      <c r="A302" s="90" t="s">
        <v>455</v>
      </c>
      <c r="B302" s="90" t="s">
        <v>454</v>
      </c>
      <c r="C302" s="90">
        <v>1066882</v>
      </c>
      <c r="D302" s="39">
        <v>1</v>
      </c>
      <c r="E302" s="39" t="s">
        <v>421</v>
      </c>
      <c r="F302" s="79">
        <v>42258</v>
      </c>
      <c r="G302" s="79">
        <f t="shared" si="28"/>
        <v>42623</v>
      </c>
      <c r="H302" s="38" t="s">
        <v>458</v>
      </c>
      <c r="I302" s="38"/>
      <c r="J302" s="98" t="s">
        <v>435</v>
      </c>
      <c r="K302" s="1" t="s">
        <v>484</v>
      </c>
    </row>
    <row r="303" spans="1:11" x14ac:dyDescent="0.2">
      <c r="A303" s="90" t="s">
        <v>456</v>
      </c>
      <c r="B303" s="90" t="s">
        <v>454</v>
      </c>
      <c r="C303" s="90">
        <v>1062875</v>
      </c>
      <c r="D303" s="39">
        <v>1</v>
      </c>
      <c r="E303" s="39" t="s">
        <v>421</v>
      </c>
      <c r="F303" s="79">
        <v>42258</v>
      </c>
      <c r="G303" s="79">
        <f t="shared" si="28"/>
        <v>42623</v>
      </c>
      <c r="H303" s="38" t="s">
        <v>210</v>
      </c>
      <c r="I303" s="38"/>
      <c r="J303" s="98" t="s">
        <v>435</v>
      </c>
      <c r="K303" s="1" t="s">
        <v>484</v>
      </c>
    </row>
    <row r="304" spans="1:11" x14ac:dyDescent="0.2">
      <c r="A304" s="90" t="s">
        <v>457</v>
      </c>
      <c r="B304" s="90" t="s">
        <v>454</v>
      </c>
      <c r="C304" s="90">
        <v>10367366</v>
      </c>
      <c r="D304" s="39">
        <v>1</v>
      </c>
      <c r="E304" s="39" t="s">
        <v>421</v>
      </c>
      <c r="F304" s="79">
        <v>42439</v>
      </c>
      <c r="G304" s="79">
        <f t="shared" si="28"/>
        <v>42804</v>
      </c>
      <c r="H304" s="38" t="s">
        <v>210</v>
      </c>
      <c r="I304" s="38"/>
      <c r="J304" s="98" t="s">
        <v>696</v>
      </c>
      <c r="K304" s="1" t="s">
        <v>484</v>
      </c>
    </row>
    <row r="305" spans="1:11" x14ac:dyDescent="0.2">
      <c r="A305" s="90" t="s">
        <v>747</v>
      </c>
      <c r="B305" s="90" t="s">
        <v>438</v>
      </c>
      <c r="C305" s="90">
        <v>1322</v>
      </c>
      <c r="D305" s="39">
        <v>1</v>
      </c>
      <c r="E305" s="39" t="s">
        <v>561</v>
      </c>
      <c r="F305" s="79">
        <v>41837</v>
      </c>
      <c r="G305" s="79">
        <f t="shared" si="28"/>
        <v>42202</v>
      </c>
      <c r="H305" s="38" t="s">
        <v>210</v>
      </c>
      <c r="I305" s="38"/>
      <c r="J305" s="98" t="s">
        <v>435</v>
      </c>
      <c r="K305" s="1" t="s">
        <v>485</v>
      </c>
    </row>
    <row r="306" spans="1:11" x14ac:dyDescent="0.2">
      <c r="A306" s="90" t="s">
        <v>748</v>
      </c>
      <c r="B306" s="90" t="s">
        <v>438</v>
      </c>
      <c r="C306" s="90">
        <v>369</v>
      </c>
      <c r="D306" s="39">
        <v>1</v>
      </c>
      <c r="E306" s="39" t="s">
        <v>421</v>
      </c>
      <c r="F306" s="79">
        <v>42214</v>
      </c>
      <c r="G306" s="79">
        <f t="shared" si="28"/>
        <v>42579</v>
      </c>
      <c r="H306" s="125" t="s">
        <v>210</v>
      </c>
      <c r="I306" s="38"/>
      <c r="J306" s="116" t="s">
        <v>696</v>
      </c>
      <c r="K306" s="1" t="s">
        <v>486</v>
      </c>
    </row>
    <row r="307" spans="1:11" x14ac:dyDescent="0.2">
      <c r="A307" s="90" t="s">
        <v>669</v>
      </c>
      <c r="B307" s="90" t="s">
        <v>438</v>
      </c>
      <c r="C307" s="90">
        <v>10406752</v>
      </c>
      <c r="D307" s="39">
        <v>1</v>
      </c>
      <c r="E307" s="39" t="s">
        <v>421</v>
      </c>
      <c r="F307" s="79">
        <v>42404</v>
      </c>
      <c r="G307" s="79">
        <f t="shared" ref="G307" si="30">F307+(D307*365)</f>
        <v>42769</v>
      </c>
      <c r="H307" s="38" t="s">
        <v>210</v>
      </c>
      <c r="I307" s="38"/>
      <c r="J307" s="116" t="s">
        <v>625</v>
      </c>
      <c r="K307" s="1" t="s">
        <v>484</v>
      </c>
    </row>
    <row r="308" spans="1:11" x14ac:dyDescent="0.2">
      <c r="A308" s="90" t="s">
        <v>749</v>
      </c>
      <c r="B308" s="90" t="s">
        <v>438</v>
      </c>
      <c r="C308" s="90">
        <v>362</v>
      </c>
      <c r="D308" s="39">
        <v>1</v>
      </c>
      <c r="E308" s="39" t="s">
        <v>561</v>
      </c>
      <c r="F308" s="79">
        <v>41837</v>
      </c>
      <c r="G308" s="79">
        <f t="shared" si="28"/>
        <v>42202</v>
      </c>
      <c r="H308" s="38" t="s">
        <v>210</v>
      </c>
      <c r="I308" s="38"/>
      <c r="J308" s="98" t="s">
        <v>435</v>
      </c>
      <c r="K308" s="1" t="s">
        <v>485</v>
      </c>
    </row>
    <row r="309" spans="1:11" x14ac:dyDescent="0.2">
      <c r="A309" s="90" t="s">
        <v>361</v>
      </c>
      <c r="B309" s="90"/>
      <c r="C309" s="90" t="s">
        <v>360</v>
      </c>
      <c r="D309" s="39">
        <v>1</v>
      </c>
      <c r="E309" s="39" t="s">
        <v>421</v>
      </c>
      <c r="F309" s="79">
        <v>42353</v>
      </c>
      <c r="G309" s="79">
        <f t="shared" si="28"/>
        <v>42718</v>
      </c>
      <c r="H309" s="38" t="s">
        <v>778</v>
      </c>
      <c r="I309" s="38" t="s">
        <v>779</v>
      </c>
      <c r="J309" s="98" t="s">
        <v>626</v>
      </c>
      <c r="K309" s="1" t="s">
        <v>484</v>
      </c>
    </row>
    <row r="310" spans="1:11" x14ac:dyDescent="0.2">
      <c r="A310" s="90" t="s">
        <v>212</v>
      </c>
      <c r="B310" s="90" t="s">
        <v>741</v>
      </c>
      <c r="C310" s="90">
        <v>1264785</v>
      </c>
      <c r="D310" s="39">
        <v>1</v>
      </c>
      <c r="E310" s="39" t="s">
        <v>421</v>
      </c>
      <c r="F310" s="79">
        <v>42208</v>
      </c>
      <c r="G310" s="79">
        <f t="shared" si="28"/>
        <v>42573</v>
      </c>
      <c r="H310" s="38" t="s">
        <v>210</v>
      </c>
      <c r="I310" s="38"/>
      <c r="J310" s="98" t="s">
        <v>435</v>
      </c>
      <c r="K310" s="1" t="s">
        <v>486</v>
      </c>
    </row>
    <row r="311" spans="1:11" x14ac:dyDescent="0.2">
      <c r="A311" s="90" t="s">
        <v>546</v>
      </c>
      <c r="B311" s="90" t="s">
        <v>741</v>
      </c>
      <c r="C311" s="90" t="s">
        <v>184</v>
      </c>
      <c r="D311" s="39">
        <v>1</v>
      </c>
      <c r="E311" s="39" t="s">
        <v>421</v>
      </c>
      <c r="F311" s="79">
        <v>42207</v>
      </c>
      <c r="G311" s="79">
        <f t="shared" si="28"/>
        <v>42572</v>
      </c>
      <c r="H311" s="38" t="s">
        <v>210</v>
      </c>
      <c r="I311" s="38"/>
      <c r="J311" s="116" t="s">
        <v>435</v>
      </c>
      <c r="K311" s="1" t="s">
        <v>486</v>
      </c>
    </row>
    <row r="312" spans="1:11" x14ac:dyDescent="0.2">
      <c r="A312" s="90" t="s">
        <v>217</v>
      </c>
      <c r="B312" s="90" t="s">
        <v>742</v>
      </c>
      <c r="C312" s="90">
        <v>486</v>
      </c>
      <c r="D312" s="39">
        <v>1</v>
      </c>
      <c r="E312" s="39" t="s">
        <v>421</v>
      </c>
      <c r="F312" s="79">
        <v>42206</v>
      </c>
      <c r="G312" s="79">
        <f t="shared" si="28"/>
        <v>42571</v>
      </c>
      <c r="H312" s="38" t="s">
        <v>210</v>
      </c>
      <c r="I312" s="38"/>
      <c r="J312" s="98"/>
      <c r="K312" s="1" t="s">
        <v>486</v>
      </c>
    </row>
    <row r="313" spans="1:11" x14ac:dyDescent="0.2">
      <c r="A313" s="90" t="s">
        <v>567</v>
      </c>
      <c r="B313" s="90" t="s">
        <v>568</v>
      </c>
      <c r="C313" s="90">
        <v>3221</v>
      </c>
      <c r="D313" s="39">
        <v>1</v>
      </c>
      <c r="E313" s="39" t="s">
        <v>561</v>
      </c>
      <c r="F313" s="79">
        <v>42074</v>
      </c>
      <c r="G313" s="79">
        <f t="shared" si="28"/>
        <v>42439</v>
      </c>
      <c r="H313" s="38" t="s">
        <v>210</v>
      </c>
      <c r="I313" s="38" t="s">
        <v>716</v>
      </c>
      <c r="J313" s="98" t="s">
        <v>625</v>
      </c>
      <c r="K313" s="1" t="s">
        <v>485</v>
      </c>
    </row>
    <row r="314" spans="1:11" x14ac:dyDescent="0.2">
      <c r="A314" s="90" t="s">
        <v>780</v>
      </c>
      <c r="B314" s="90"/>
      <c r="C314" s="90">
        <v>211</v>
      </c>
      <c r="D314" s="39">
        <v>1</v>
      </c>
      <c r="E314" s="39" t="s">
        <v>421</v>
      </c>
      <c r="F314" s="79">
        <v>42489</v>
      </c>
      <c r="G314" s="79">
        <f t="shared" si="28"/>
        <v>42854</v>
      </c>
      <c r="H314" s="38" t="s">
        <v>636</v>
      </c>
      <c r="I314" s="38" t="s">
        <v>715</v>
      </c>
      <c r="J314" s="98" t="s">
        <v>625</v>
      </c>
      <c r="K314" s="1" t="s">
        <v>484</v>
      </c>
    </row>
    <row r="315" spans="1:11" x14ac:dyDescent="0.2">
      <c r="A315" s="90" t="s">
        <v>781</v>
      </c>
      <c r="B315" s="90"/>
      <c r="C315" s="90">
        <v>2526</v>
      </c>
      <c r="D315" s="39">
        <v>1</v>
      </c>
      <c r="E315" s="39" t="s">
        <v>421</v>
      </c>
      <c r="F315" s="79">
        <v>42445</v>
      </c>
      <c r="G315" s="79">
        <f t="shared" ref="G315" si="31">F315+(D315*365)</f>
        <v>42810</v>
      </c>
      <c r="H315" s="38" t="s">
        <v>636</v>
      </c>
      <c r="I315" s="38" t="s">
        <v>715</v>
      </c>
      <c r="J315" s="98" t="s">
        <v>625</v>
      </c>
      <c r="K315" s="1" t="s">
        <v>484</v>
      </c>
    </row>
    <row r="316" spans="1:11" x14ac:dyDescent="0.2">
      <c r="A316" s="90" t="s">
        <v>593</v>
      </c>
      <c r="B316" s="90" t="s">
        <v>568</v>
      </c>
      <c r="C316" s="90">
        <v>20253</v>
      </c>
      <c r="D316" s="39">
        <v>1</v>
      </c>
      <c r="E316" s="39" t="s">
        <v>561</v>
      </c>
      <c r="F316" s="79">
        <v>42166</v>
      </c>
      <c r="G316" s="79">
        <f t="shared" si="28"/>
        <v>42531</v>
      </c>
      <c r="H316" s="38" t="s">
        <v>210</v>
      </c>
      <c r="I316" s="38" t="s">
        <v>714</v>
      </c>
      <c r="J316" s="98"/>
      <c r="K316" s="1" t="s">
        <v>490</v>
      </c>
    </row>
    <row r="317" spans="1:11" x14ac:dyDescent="0.2">
      <c r="A317" s="90" t="s">
        <v>545</v>
      </c>
      <c r="B317" s="90" t="s">
        <v>744</v>
      </c>
      <c r="C317" s="90">
        <v>136</v>
      </c>
      <c r="D317" s="39">
        <v>1</v>
      </c>
      <c r="E317" s="39" t="s">
        <v>421</v>
      </c>
      <c r="F317" s="79">
        <v>42213</v>
      </c>
      <c r="G317" s="79">
        <f t="shared" si="28"/>
        <v>42578</v>
      </c>
      <c r="H317" s="38" t="s">
        <v>418</v>
      </c>
      <c r="I317" s="38"/>
      <c r="J317" s="98" t="s">
        <v>424</v>
      </c>
      <c r="K317" s="1" t="s">
        <v>486</v>
      </c>
    </row>
    <row r="318" spans="1:11" x14ac:dyDescent="0.2">
      <c r="A318" s="90" t="s">
        <v>544</v>
      </c>
      <c r="B318" s="90" t="s">
        <v>418</v>
      </c>
      <c r="C318" s="90">
        <v>136</v>
      </c>
      <c r="D318" s="39">
        <v>1</v>
      </c>
      <c r="E318" s="39" t="s">
        <v>421</v>
      </c>
      <c r="F318" s="79">
        <v>42212</v>
      </c>
      <c r="G318" s="79">
        <f t="shared" si="28"/>
        <v>42577</v>
      </c>
      <c r="H318" s="38" t="s">
        <v>418</v>
      </c>
      <c r="I318" s="38"/>
      <c r="J318" s="98" t="s">
        <v>424</v>
      </c>
      <c r="K318" s="1" t="s">
        <v>486</v>
      </c>
    </row>
    <row r="319" spans="1:11" x14ac:dyDescent="0.2">
      <c r="A319" s="90" t="s">
        <v>543</v>
      </c>
      <c r="B319" s="90" t="s">
        <v>746</v>
      </c>
      <c r="C319" s="90" t="s">
        <v>332</v>
      </c>
      <c r="D319" s="39">
        <v>1</v>
      </c>
      <c r="E319" s="39" t="s">
        <v>421</v>
      </c>
      <c r="F319" s="79">
        <v>42173</v>
      </c>
      <c r="G319" s="79">
        <f t="shared" si="28"/>
        <v>42538</v>
      </c>
      <c r="H319" s="38" t="s">
        <v>444</v>
      </c>
      <c r="I319" s="125" t="s">
        <v>676</v>
      </c>
      <c r="J319" s="98" t="s">
        <v>424</v>
      </c>
      <c r="K319" s="1" t="s">
        <v>490</v>
      </c>
    </row>
    <row r="320" spans="1:11" x14ac:dyDescent="0.2">
      <c r="A320" s="90" t="s">
        <v>44</v>
      </c>
      <c r="B320" s="90" t="s">
        <v>745</v>
      </c>
      <c r="C320" s="90" t="s">
        <v>50</v>
      </c>
      <c r="D320" s="39">
        <v>1</v>
      </c>
      <c r="E320" s="39" t="s">
        <v>421</v>
      </c>
      <c r="F320" s="79">
        <v>42173</v>
      </c>
      <c r="G320" s="79">
        <f t="shared" si="28"/>
        <v>42538</v>
      </c>
      <c r="H320" s="38" t="s">
        <v>444</v>
      </c>
      <c r="I320" s="38" t="s">
        <v>577</v>
      </c>
      <c r="J320" s="98" t="s">
        <v>424</v>
      </c>
      <c r="K320" s="1" t="s">
        <v>490</v>
      </c>
    </row>
    <row r="321" spans="1:11" x14ac:dyDescent="0.2">
      <c r="A321" s="90" t="s">
        <v>609</v>
      </c>
      <c r="B321" s="90" t="s">
        <v>745</v>
      </c>
      <c r="C321" s="90" t="s">
        <v>50</v>
      </c>
      <c r="D321" s="39">
        <v>1</v>
      </c>
      <c r="E321" s="39" t="s">
        <v>421</v>
      </c>
      <c r="F321" s="79">
        <v>42321</v>
      </c>
      <c r="G321" s="79">
        <f t="shared" si="28"/>
        <v>42686</v>
      </c>
      <c r="H321" s="38" t="s">
        <v>444</v>
      </c>
      <c r="I321" s="38"/>
      <c r="J321" s="98"/>
      <c r="K321" s="1" t="s">
        <v>484</v>
      </c>
    </row>
    <row r="322" spans="1:11" x14ac:dyDescent="0.2">
      <c r="A322" s="90" t="s">
        <v>646</v>
      </c>
      <c r="B322" s="90" t="s">
        <v>548</v>
      </c>
      <c r="C322" s="90">
        <v>3250</v>
      </c>
      <c r="D322" s="39">
        <v>1</v>
      </c>
      <c r="E322" s="39" t="s">
        <v>561</v>
      </c>
      <c r="F322" s="79">
        <v>42038</v>
      </c>
      <c r="G322" s="79">
        <f t="shared" ref="G322:G325" si="32">F322+(D322*365)</f>
        <v>42403</v>
      </c>
      <c r="H322" s="38" t="s">
        <v>668</v>
      </c>
      <c r="I322" s="38" t="s">
        <v>548</v>
      </c>
      <c r="J322" s="98" t="s">
        <v>435</v>
      </c>
      <c r="K322" s="1" t="s">
        <v>485</v>
      </c>
    </row>
    <row r="323" spans="1:11" x14ac:dyDescent="0.2">
      <c r="A323" s="90" t="s">
        <v>551</v>
      </c>
      <c r="B323" s="90" t="s">
        <v>548</v>
      </c>
      <c r="C323" s="90">
        <v>20253</v>
      </c>
      <c r="D323" s="39">
        <v>1</v>
      </c>
      <c r="E323" s="39" t="s">
        <v>421</v>
      </c>
      <c r="F323" s="79">
        <v>42397</v>
      </c>
      <c r="G323" s="79">
        <f t="shared" si="32"/>
        <v>42762</v>
      </c>
      <c r="H323" s="38" t="s">
        <v>444</v>
      </c>
      <c r="I323" s="38" t="s">
        <v>548</v>
      </c>
      <c r="J323" s="98" t="s">
        <v>625</v>
      </c>
      <c r="K323" s="1" t="s">
        <v>484</v>
      </c>
    </row>
    <row r="324" spans="1:11" x14ac:dyDescent="0.2">
      <c r="A324" s="90" t="s">
        <v>547</v>
      </c>
      <c r="B324" s="90" t="s">
        <v>548</v>
      </c>
      <c r="C324" s="90" t="s">
        <v>550</v>
      </c>
      <c r="D324" s="39">
        <v>1</v>
      </c>
      <c r="E324" s="39" t="s">
        <v>421</v>
      </c>
      <c r="F324" s="79">
        <v>42398</v>
      </c>
      <c r="G324" s="79">
        <f t="shared" ref="G324" si="33">F324+(D324*365)</f>
        <v>42763</v>
      </c>
      <c r="H324" s="38" t="s">
        <v>444</v>
      </c>
      <c r="I324" s="38" t="s">
        <v>548</v>
      </c>
      <c r="J324" s="98" t="s">
        <v>625</v>
      </c>
      <c r="K324" s="1" t="s">
        <v>484</v>
      </c>
    </row>
    <row r="325" spans="1:11" x14ac:dyDescent="0.2">
      <c r="A325" s="90" t="s">
        <v>547</v>
      </c>
      <c r="B325" s="90" t="s">
        <v>548</v>
      </c>
      <c r="C325" s="90" t="s">
        <v>549</v>
      </c>
      <c r="D325" s="39">
        <v>1</v>
      </c>
      <c r="E325" s="39" t="s">
        <v>421</v>
      </c>
      <c r="F325" s="79">
        <v>42398</v>
      </c>
      <c r="G325" s="79">
        <f t="shared" si="32"/>
        <v>42763</v>
      </c>
      <c r="H325" s="38" t="s">
        <v>444</v>
      </c>
      <c r="I325" s="38" t="s">
        <v>548</v>
      </c>
      <c r="J325" s="98" t="s">
        <v>625</v>
      </c>
      <c r="K325" s="1" t="s">
        <v>484</v>
      </c>
    </row>
    <row r="326" spans="1:11" x14ac:dyDescent="0.2">
      <c r="A326" s="90" t="s">
        <v>552</v>
      </c>
      <c r="B326" s="90" t="s">
        <v>553</v>
      </c>
      <c r="C326" s="90" t="s">
        <v>554</v>
      </c>
      <c r="D326" s="39">
        <v>1</v>
      </c>
      <c r="E326" s="39" t="s">
        <v>561</v>
      </c>
      <c r="F326" s="79">
        <v>42007</v>
      </c>
      <c r="G326" s="79">
        <f t="shared" ref="G326" si="34">F326+(D326*365)</f>
        <v>42372</v>
      </c>
      <c r="H326" s="38" t="s">
        <v>563</v>
      </c>
      <c r="I326" s="38" t="s">
        <v>548</v>
      </c>
      <c r="J326" s="98" t="s">
        <v>625</v>
      </c>
      <c r="K326" s="1" t="s">
        <v>485</v>
      </c>
    </row>
    <row r="327" spans="1:11" x14ac:dyDescent="0.2">
      <c r="A327" s="91"/>
      <c r="B327" s="91"/>
      <c r="C327" s="91"/>
      <c r="D327" s="92"/>
      <c r="E327" s="92"/>
      <c r="F327" s="105" t="s">
        <v>480</v>
      </c>
      <c r="G327" s="93" t="s">
        <v>481</v>
      </c>
      <c r="H327" s="106" t="s">
        <v>482</v>
      </c>
      <c r="I327" s="91"/>
      <c r="J327" s="103" t="s">
        <v>480</v>
      </c>
      <c r="K327" s="104" t="s">
        <v>481</v>
      </c>
    </row>
    <row r="328" spans="1:11" x14ac:dyDescent="0.2">
      <c r="A328" s="80"/>
      <c r="B328" s="80"/>
      <c r="C328" s="80"/>
      <c r="D328" s="80"/>
      <c r="E328" s="80"/>
      <c r="F328" s="80"/>
      <c r="G328" s="97" t="s">
        <v>483</v>
      </c>
      <c r="H328" s="80"/>
      <c r="I328" s="80"/>
      <c r="J328" s="80"/>
      <c r="K328" t="s">
        <v>483</v>
      </c>
    </row>
  </sheetData>
  <mergeCells count="3">
    <mergeCell ref="A2:K3"/>
    <mergeCell ref="A4:K4"/>
    <mergeCell ref="A272:K272"/>
  </mergeCells>
  <phoneticPr fontId="3" type="noConversion"/>
  <conditionalFormatting sqref="A30:H32 J30:K32 A6:K28 A33:K271 A274:K326">
    <cfRule type="expression" dxfId="7" priority="21">
      <formula>($E6="Reference Only")</formula>
    </cfRule>
    <cfRule type="expression" dxfId="6" priority="529">
      <formula>($E6="Out Of Service")</formula>
    </cfRule>
    <cfRule type="expression" dxfId="5" priority="530">
      <formula>(TODAY() &gt;$G6)&lt;(TODAY()+DATE(0,4,0)&gt;$G6)</formula>
    </cfRule>
    <cfRule type="expression" dxfId="4" priority="531">
      <formula>(TODAY()&gt;$G6)</formula>
    </cfRule>
  </conditionalFormatting>
  <conditionalFormatting sqref="I30:I32">
    <cfRule type="expression" dxfId="3" priority="536">
      <formula>($E29="Reference Only")</formula>
    </cfRule>
    <cfRule type="expression" dxfId="2" priority="537">
      <formula>($E29="Out Of Service")</formula>
    </cfRule>
    <cfRule type="expression" dxfId="1" priority="538">
      <formula>(TODAY() &gt;$G29)&lt;(TODAY()+DATE(0,4,0)&gt;$G29)</formula>
    </cfRule>
    <cfRule type="expression" dxfId="0" priority="539">
      <formula>(TODAY()&gt;$G29)</formula>
    </cfRule>
  </conditionalFormatting>
  <hyperlinks>
    <hyperlink ref="X60" r:id="rId1"/>
    <hyperlink ref="X67" r:id="rId2"/>
    <hyperlink ref="X69" r:id="rId3"/>
  </hyperlinks>
  <printOptions horizontalCentered="1"/>
  <pageMargins left="0.75" right="0.75" top="1" bottom="1" header="0.5" footer="0.5"/>
  <pageSetup fitToHeight="0" orientation="landscape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8"/>
  <sheetViews>
    <sheetView workbookViewId="0">
      <selection activeCell="B8" sqref="B8"/>
    </sheetView>
  </sheetViews>
  <sheetFormatPr defaultRowHeight="12.75" x14ac:dyDescent="0.2"/>
  <cols>
    <col min="3" max="3" width="12.28515625" bestFit="1" customWidth="1"/>
  </cols>
  <sheetData>
    <row r="1" spans="1:3" x14ac:dyDescent="0.2">
      <c r="A1" s="4">
        <v>407</v>
      </c>
      <c r="B1" s="4" t="s">
        <v>393</v>
      </c>
      <c r="C1" s="4" t="s">
        <v>394</v>
      </c>
    </row>
    <row r="2" spans="1:3" x14ac:dyDescent="0.2">
      <c r="A2" s="4" t="s">
        <v>365</v>
      </c>
      <c r="B2" s="4" t="s">
        <v>381</v>
      </c>
      <c r="C2" s="4" t="s">
        <v>395</v>
      </c>
    </row>
    <row r="3" spans="1:3" x14ac:dyDescent="0.2">
      <c r="A3" s="4" t="s">
        <v>366</v>
      </c>
      <c r="B3" s="4">
        <v>200</v>
      </c>
      <c r="C3" s="4" t="s">
        <v>382</v>
      </c>
    </row>
    <row r="4" spans="1:3" x14ac:dyDescent="0.2">
      <c r="A4" s="4" t="s">
        <v>367</v>
      </c>
      <c r="B4" s="4" t="s">
        <v>383</v>
      </c>
      <c r="C4" s="4" t="s">
        <v>384</v>
      </c>
    </row>
    <row r="5" spans="1:3" x14ac:dyDescent="0.2">
      <c r="A5" s="4" t="s">
        <v>368</v>
      </c>
      <c r="B5" s="4" t="s">
        <v>401</v>
      </c>
      <c r="C5" s="4" t="s">
        <v>395</v>
      </c>
    </row>
    <row r="6" spans="1:3" x14ac:dyDescent="0.2">
      <c r="A6" s="4" t="s">
        <v>369</v>
      </c>
      <c r="B6" s="4" t="s">
        <v>383</v>
      </c>
      <c r="C6" s="4" t="s">
        <v>385</v>
      </c>
    </row>
    <row r="7" spans="1:3" x14ac:dyDescent="0.2">
      <c r="A7" s="4" t="s">
        <v>370</v>
      </c>
      <c r="B7" s="4" t="s">
        <v>383</v>
      </c>
      <c r="C7" s="4" t="s">
        <v>385</v>
      </c>
    </row>
    <row r="8" spans="1:3" x14ac:dyDescent="0.2">
      <c r="A8" s="4" t="s">
        <v>371</v>
      </c>
      <c r="B8" s="4"/>
      <c r="C8" s="4"/>
    </row>
    <row r="9" spans="1:3" x14ac:dyDescent="0.2">
      <c r="A9" s="4" t="s">
        <v>372</v>
      </c>
      <c r="B9" s="4" t="s">
        <v>383</v>
      </c>
      <c r="C9" s="4" t="s">
        <v>385</v>
      </c>
    </row>
    <row r="10" spans="1:3" x14ac:dyDescent="0.2">
      <c r="A10" s="4" t="s">
        <v>373</v>
      </c>
      <c r="B10" s="4" t="s">
        <v>386</v>
      </c>
      <c r="C10" s="4" t="s">
        <v>387</v>
      </c>
    </row>
    <row r="11" spans="1:3" x14ac:dyDescent="0.2">
      <c r="A11" s="4" t="s">
        <v>374</v>
      </c>
      <c r="B11" s="4" t="s">
        <v>402</v>
      </c>
      <c r="C11" s="4" t="s">
        <v>403</v>
      </c>
    </row>
    <row r="12" spans="1:3" x14ac:dyDescent="0.2">
      <c r="A12" s="4" t="s">
        <v>375</v>
      </c>
      <c r="B12" s="4" t="s">
        <v>383</v>
      </c>
      <c r="C12" s="4" t="s">
        <v>388</v>
      </c>
    </row>
    <row r="13" spans="1:3" x14ac:dyDescent="0.2">
      <c r="A13" s="4" t="s">
        <v>376</v>
      </c>
      <c r="B13" s="4" t="s">
        <v>383</v>
      </c>
      <c r="C13" s="4" t="s">
        <v>404</v>
      </c>
    </row>
    <row r="14" spans="1:3" x14ac:dyDescent="0.2">
      <c r="A14" s="4" t="s">
        <v>377</v>
      </c>
      <c r="B14" s="4" t="s">
        <v>386</v>
      </c>
      <c r="C14" s="4" t="s">
        <v>390</v>
      </c>
    </row>
    <row r="15" spans="1:3" x14ac:dyDescent="0.2">
      <c r="A15" s="4" t="s">
        <v>378</v>
      </c>
      <c r="B15" s="4" t="s">
        <v>383</v>
      </c>
      <c r="C15" s="4" t="s">
        <v>391</v>
      </c>
    </row>
    <row r="16" spans="1:3" x14ac:dyDescent="0.2">
      <c r="A16" s="4" t="s">
        <v>379</v>
      </c>
      <c r="B16" s="4" t="s">
        <v>274</v>
      </c>
      <c r="C16" s="4" t="s">
        <v>392</v>
      </c>
    </row>
    <row r="17" spans="1:3" x14ac:dyDescent="0.2">
      <c r="A17" s="4" t="s">
        <v>380</v>
      </c>
      <c r="B17" s="4" t="s">
        <v>389</v>
      </c>
      <c r="C17" s="4" t="s">
        <v>405</v>
      </c>
    </row>
    <row r="18" spans="1:3" x14ac:dyDescent="0.2">
      <c r="A18" s="4" t="s">
        <v>406</v>
      </c>
      <c r="B18" s="4" t="s">
        <v>389</v>
      </c>
      <c r="C18" s="4" t="s">
        <v>407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D3:V85"/>
  <sheetViews>
    <sheetView topLeftCell="D31" workbookViewId="0">
      <selection activeCell="N60" sqref="N60"/>
    </sheetView>
  </sheetViews>
  <sheetFormatPr defaultRowHeight="12.75" x14ac:dyDescent="0.2"/>
  <sheetData>
    <row r="3" spans="4:22" x14ac:dyDescent="0.2"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V3" s="64"/>
    </row>
    <row r="4" spans="4:22" x14ac:dyDescent="0.2"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V4" s="64"/>
    </row>
    <row r="5" spans="4:22" x14ac:dyDescent="0.2"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V5" s="64"/>
    </row>
    <row r="6" spans="4:22" x14ac:dyDescent="0.2"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V6" s="64"/>
    </row>
    <row r="7" spans="4:22" x14ac:dyDescent="0.2"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V7" s="64"/>
    </row>
    <row r="8" spans="4:22" x14ac:dyDescent="0.2"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V8" s="64"/>
    </row>
    <row r="9" spans="4:22" x14ac:dyDescent="0.2"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V9" s="64"/>
    </row>
    <row r="10" spans="4:22" x14ac:dyDescent="0.2"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V10" s="64"/>
    </row>
    <row r="11" spans="4:22" x14ac:dyDescent="0.2"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V11" s="64"/>
    </row>
    <row r="12" spans="4:22" ht="22.5" x14ac:dyDescent="0.3">
      <c r="D12" s="64"/>
      <c r="E12" s="64"/>
      <c r="F12" s="64"/>
      <c r="G12" s="64"/>
      <c r="H12" s="64"/>
      <c r="I12" s="65"/>
      <c r="J12" s="64"/>
      <c r="K12" s="64"/>
      <c r="L12" s="64"/>
      <c r="M12" s="64"/>
      <c r="N12" s="64"/>
      <c r="O12" s="64"/>
      <c r="P12" s="64"/>
      <c r="Q12" s="65"/>
      <c r="R12" s="64"/>
      <c r="S12" s="64"/>
      <c r="V12" s="64"/>
    </row>
    <row r="13" spans="4:22" x14ac:dyDescent="0.2"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V13" s="64"/>
    </row>
    <row r="14" spans="4:22" x14ac:dyDescent="0.2"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V14" s="64"/>
    </row>
    <row r="15" spans="4:22" x14ac:dyDescent="0.2"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V15" s="64"/>
    </row>
    <row r="16" spans="4:22" x14ac:dyDescent="0.2"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V16" s="64"/>
    </row>
    <row r="17" spans="4:22" x14ac:dyDescent="0.2"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V17" s="64"/>
    </row>
    <row r="18" spans="4:22" x14ac:dyDescent="0.2"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V18" s="64"/>
    </row>
    <row r="19" spans="4:22" x14ac:dyDescent="0.2"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V19" s="64"/>
    </row>
    <row r="20" spans="4:22" x14ac:dyDescent="0.2"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V20" s="64"/>
    </row>
    <row r="21" spans="4:22" x14ac:dyDescent="0.2"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V21" s="64"/>
    </row>
    <row r="22" spans="4:22" x14ac:dyDescent="0.2"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V22" s="64"/>
    </row>
    <row r="23" spans="4:22" x14ac:dyDescent="0.2"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V23" s="64"/>
    </row>
    <row r="24" spans="4:22" x14ac:dyDescent="0.2"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V24" s="64"/>
    </row>
    <row r="25" spans="4:22" x14ac:dyDescent="0.2"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V25" s="64"/>
    </row>
    <row r="26" spans="4:22" x14ac:dyDescent="0.2"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V26" s="64"/>
    </row>
    <row r="27" spans="4:22" x14ac:dyDescent="0.2"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V27" s="64"/>
    </row>
    <row r="28" spans="4:22" x14ac:dyDescent="0.2"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V28" s="64"/>
    </row>
    <row r="29" spans="4:22" x14ac:dyDescent="0.2"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V29" s="64"/>
    </row>
    <row r="30" spans="4:22" x14ac:dyDescent="0.2"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V30" s="64"/>
    </row>
    <row r="31" spans="4:22" x14ac:dyDescent="0.2"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V31" s="64"/>
    </row>
    <row r="32" spans="4:22" x14ac:dyDescent="0.2"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V32" s="64"/>
    </row>
    <row r="33" spans="4:22" x14ac:dyDescent="0.2"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V33" s="64"/>
    </row>
    <row r="34" spans="4:22" x14ac:dyDescent="0.2"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V34" s="64"/>
    </row>
    <row r="35" spans="4:22" x14ac:dyDescent="0.2"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V35" s="64"/>
    </row>
    <row r="36" spans="4:22" x14ac:dyDescent="0.2"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V36" s="64"/>
    </row>
    <row r="37" spans="4:22" x14ac:dyDescent="0.2"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V37" s="64"/>
    </row>
    <row r="38" spans="4:22" x14ac:dyDescent="0.2"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V38" s="64"/>
    </row>
    <row r="39" spans="4:22" x14ac:dyDescent="0.2"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V39" s="64"/>
    </row>
    <row r="40" spans="4:22" x14ac:dyDescent="0.2"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V40" s="64"/>
    </row>
    <row r="41" spans="4:22" x14ac:dyDescent="0.2"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V41" s="64"/>
    </row>
    <row r="42" spans="4:22" x14ac:dyDescent="0.2"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V42" s="64"/>
    </row>
    <row r="43" spans="4:22" x14ac:dyDescent="0.2"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V43" s="64"/>
    </row>
    <row r="44" spans="4:22" x14ac:dyDescent="0.2"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V44" s="64"/>
    </row>
    <row r="45" spans="4:22" x14ac:dyDescent="0.2"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V45" s="64"/>
    </row>
    <row r="46" spans="4:22" x14ac:dyDescent="0.2"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V46" s="64"/>
    </row>
    <row r="47" spans="4:22" x14ac:dyDescent="0.2"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V47" s="64"/>
    </row>
    <row r="48" spans="4:22" x14ac:dyDescent="0.2"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V48" s="64"/>
    </row>
    <row r="49" spans="4:22" x14ac:dyDescent="0.2"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V49" s="64"/>
    </row>
    <row r="50" spans="4:22" x14ac:dyDescent="0.2"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V50" s="64"/>
    </row>
    <row r="51" spans="4:22" x14ac:dyDescent="0.2"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V51" s="64"/>
    </row>
    <row r="52" spans="4:22" x14ac:dyDescent="0.2"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V52" s="64"/>
    </row>
    <row r="53" spans="4:22" x14ac:dyDescent="0.2"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V53" s="64"/>
    </row>
    <row r="54" spans="4:22" x14ac:dyDescent="0.2"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V54" s="64"/>
    </row>
    <row r="55" spans="4:22" x14ac:dyDescent="0.2">
      <c r="D55" s="64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V55" s="64"/>
    </row>
    <row r="56" spans="4:22" x14ac:dyDescent="0.2"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V56" s="64"/>
    </row>
    <row r="57" spans="4:22" x14ac:dyDescent="0.2"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V57" s="64"/>
    </row>
    <row r="58" spans="4:22" x14ac:dyDescent="0.2"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V58" s="64"/>
    </row>
    <row r="59" spans="4:22" x14ac:dyDescent="0.2"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V59" s="64"/>
    </row>
    <row r="60" spans="4:22" x14ac:dyDescent="0.2"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V60" s="64"/>
    </row>
    <row r="61" spans="4:22" x14ac:dyDescent="0.2"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V61" s="64"/>
    </row>
    <row r="62" spans="4:22" x14ac:dyDescent="0.2"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V62" s="64"/>
    </row>
    <row r="63" spans="4:22" x14ac:dyDescent="0.2"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V63" s="64"/>
    </row>
    <row r="64" spans="4:22" x14ac:dyDescent="0.2"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V64" s="64"/>
    </row>
    <row r="65" spans="4:22" x14ac:dyDescent="0.2"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V65" s="64"/>
    </row>
    <row r="66" spans="4:22" x14ac:dyDescent="0.2"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V66" s="64"/>
    </row>
    <row r="67" spans="4:22" ht="22.5" x14ac:dyDescent="0.3">
      <c r="D67" s="64"/>
      <c r="E67" s="64"/>
      <c r="F67" s="64"/>
      <c r="G67" s="65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V67" s="64"/>
    </row>
    <row r="68" spans="4:22" x14ac:dyDescent="0.2"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V68" s="64"/>
    </row>
    <row r="69" spans="4:22" x14ac:dyDescent="0.2"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V69" s="64"/>
    </row>
    <row r="70" spans="4:22" x14ac:dyDescent="0.2"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V70" s="64"/>
    </row>
    <row r="71" spans="4:22" x14ac:dyDescent="0.2"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V71" s="64"/>
    </row>
    <row r="72" spans="4:22" x14ac:dyDescent="0.2"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V72" s="64"/>
    </row>
    <row r="73" spans="4:22" x14ac:dyDescent="0.2"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V73" s="64"/>
    </row>
    <row r="74" spans="4:22" x14ac:dyDescent="0.2"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V74" s="64"/>
    </row>
    <row r="75" spans="4:22" x14ac:dyDescent="0.2"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V75" s="64"/>
    </row>
    <row r="76" spans="4:22" x14ac:dyDescent="0.2"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V76" s="64"/>
    </row>
    <row r="77" spans="4:22" x14ac:dyDescent="0.2"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V77" s="64"/>
    </row>
    <row r="78" spans="4:22" x14ac:dyDescent="0.2"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V78" s="64"/>
    </row>
    <row r="79" spans="4:22" x14ac:dyDescent="0.2"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V79" s="64"/>
    </row>
    <row r="80" spans="4:22" x14ac:dyDescent="0.2"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V80" s="64"/>
    </row>
    <row r="81" spans="4:22" x14ac:dyDescent="0.2"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V81" s="64"/>
    </row>
    <row r="82" spans="4:22" x14ac:dyDescent="0.2"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V82" s="64"/>
    </row>
    <row r="83" spans="4:22" x14ac:dyDescent="0.2"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V83" s="64"/>
    </row>
    <row r="84" spans="4:22" x14ac:dyDescent="0.2"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V84" s="64"/>
    </row>
    <row r="85" spans="4:22" x14ac:dyDescent="0.2"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V85" s="64"/>
    </row>
  </sheetData>
  <pageMargins left="0.7" right="0.7" top="0.75" bottom="0.75" header="0.3" footer="0.3"/>
  <pageSetup scale="4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Log Sheet</vt:lpstr>
      <vt:lpstr>New E-List</vt:lpstr>
      <vt:lpstr>Ref E-List </vt:lpstr>
      <vt:lpstr>Broke Equipment List </vt:lpstr>
      <vt:lpstr>Ref E-List Stats</vt:lpstr>
      <vt:lpstr>Master List</vt:lpstr>
      <vt:lpstr>407 locations</vt:lpstr>
      <vt:lpstr>Calibration process</vt:lpstr>
      <vt:lpstr>'Broke Equipment List '!Print_Area</vt:lpstr>
      <vt:lpstr>'Log Sheet'!Print_Area</vt:lpstr>
      <vt:lpstr>'New E-List'!Print_Area</vt:lpstr>
      <vt:lpstr>'Ref E-List '!Print_Area</vt:lpstr>
      <vt:lpstr>'Ref E-List Stats'!Print_Area</vt:lpstr>
    </vt:vector>
  </TitlesOfParts>
  <Company>CTLGroup.com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D. Clark</dc:creator>
  <cp:lastModifiedBy>Matthew Neumayer</cp:lastModifiedBy>
  <cp:lastPrinted>2016-01-15T22:48:24Z</cp:lastPrinted>
  <dcterms:created xsi:type="dcterms:W3CDTF">2007-02-02T15:44:32Z</dcterms:created>
  <dcterms:modified xsi:type="dcterms:W3CDTF">2016-05-19T02:19:05Z</dcterms:modified>
</cp:coreProperties>
</file>